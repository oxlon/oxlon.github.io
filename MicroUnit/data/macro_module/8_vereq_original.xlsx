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con0711/Downloads/EconometricModeling_Fatih/Modellər/Makroekonometrik model/"/>
    </mc:Choice>
  </mc:AlternateContent>
  <xr:revisionPtr revIDLastSave="0" documentId="13_ncr:1_{5C68FF8C-321A-9746-B515-26B389357326}" xr6:coauthVersionLast="47" xr6:coauthVersionMax="47" xr10:uidLastSave="{00000000-0000-0000-0000-000000000000}"/>
  <bookViews>
    <workbookView xWindow="-23620" yWindow="-3300" windowWidth="21520" windowHeight="16940" tabRatio="851" activeTab="2" xr2:uid="{00000000-000D-0000-FFFF-FFFF00000000}"/>
  </bookViews>
  <sheets>
    <sheet name="2.4.1.1." sheetId="1" r:id="rId1"/>
    <sheet name="2.4.1.2." sheetId="2" r:id="rId2"/>
    <sheet name="2.4.1.3." sheetId="3" r:id="rId3"/>
    <sheet name="2.4.1.4." sheetId="14" r:id="rId4"/>
    <sheet name="2.4.1.5.-7." sheetId="4" r:id="rId5"/>
    <sheet name="2.4.1.13.-14." sheetId="1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Print_Area" localSheetId="0">'2.4.1.1.'!$A$1:$T$14</definedName>
    <definedName name="_xlnm.Print_Area" localSheetId="5">'2.4.1.13.-14.'!$A$1:$T$36</definedName>
    <definedName name="_xlnm.Print_Area" localSheetId="1">'2.4.1.2.'!$A$1:$T$276</definedName>
    <definedName name="_xlnm.Print_Area" localSheetId="2">'2.4.1.3.'!$A$1:$T$51</definedName>
    <definedName name="_xlnm.Print_Area" localSheetId="3">'2.4.1.4.'!$A$1:$T$219</definedName>
    <definedName name="_xlnm.Print_Area" localSheetId="4">'2.4.1.5.-7.'!$A$1:$T$58</definedName>
    <definedName name="_xlnm.Print_Titles" localSheetId="0">'2.4.1.1.'!$2:$3</definedName>
    <definedName name="_xlnm.Print_Titles" localSheetId="1">'2.4.1.2.'!$2:$3</definedName>
    <definedName name="_xlnm.Print_Titles" localSheetId="2">'2.4.1.3.'!$2:$3</definedName>
    <definedName name="_xlnm.Print_Titles" localSheetId="3">'2.4.1.4.'!$2:$3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8" l="1"/>
  <c r="N36" i="18"/>
  <c r="M36" i="18"/>
  <c r="L36" i="18"/>
  <c r="K36" i="18"/>
  <c r="J36" i="18"/>
  <c r="I36" i="18"/>
  <c r="N27" i="18"/>
  <c r="M27" i="18"/>
  <c r="L27" i="18"/>
  <c r="K27" i="18"/>
  <c r="J27" i="18"/>
  <c r="I27" i="18"/>
  <c r="O26" i="18"/>
  <c r="N26" i="18"/>
  <c r="M26" i="18"/>
  <c r="L26" i="18"/>
  <c r="K26" i="18"/>
  <c r="J26" i="18"/>
  <c r="I26" i="18"/>
  <c r="M25" i="18"/>
  <c r="L25" i="18"/>
  <c r="K25" i="18"/>
  <c r="J25" i="18"/>
  <c r="I25" i="18"/>
  <c r="O24" i="18"/>
  <c r="N24" i="18"/>
  <c r="M24" i="18"/>
  <c r="L24" i="18"/>
  <c r="K24" i="18"/>
  <c r="J24" i="18"/>
  <c r="I24" i="18"/>
  <c r="M23" i="18"/>
  <c r="L23" i="18"/>
  <c r="K23" i="18"/>
  <c r="J23" i="18"/>
  <c r="I23" i="18"/>
  <c r="O22" i="18"/>
  <c r="N22" i="18"/>
  <c r="M22" i="18"/>
  <c r="L22" i="18"/>
  <c r="K22" i="18"/>
  <c r="J22" i="18"/>
  <c r="I22" i="18"/>
  <c r="O21" i="18"/>
  <c r="N21" i="18"/>
  <c r="M21" i="18"/>
  <c r="L21" i="18"/>
  <c r="K21" i="18"/>
  <c r="J21" i="18"/>
  <c r="I21" i="18"/>
  <c r="O20" i="18"/>
  <c r="N20" i="18"/>
  <c r="M20" i="18"/>
  <c r="L20" i="18"/>
  <c r="K20" i="18"/>
  <c r="J20" i="18"/>
  <c r="I20" i="18"/>
  <c r="M19" i="18"/>
  <c r="L19" i="18"/>
  <c r="K19" i="18"/>
  <c r="J19" i="18"/>
  <c r="I19" i="18"/>
  <c r="H18" i="18"/>
  <c r="I18" i="18" s="1"/>
  <c r="J18" i="18" s="1"/>
  <c r="K18" i="18" s="1"/>
  <c r="L18" i="18" s="1"/>
  <c r="M18" i="18" s="1"/>
  <c r="N18" i="18" s="1"/>
  <c r="O18" i="18" s="1"/>
  <c r="P18" i="18" s="1"/>
  <c r="O13" i="18"/>
  <c r="N13" i="18"/>
  <c r="M13" i="18"/>
  <c r="L13" i="18"/>
  <c r="K13" i="18"/>
  <c r="J13" i="18"/>
  <c r="I13" i="18"/>
  <c r="O12" i="18"/>
  <c r="N12" i="18"/>
  <c r="M12" i="18"/>
  <c r="L12" i="18"/>
  <c r="K12" i="18"/>
  <c r="J12" i="18"/>
  <c r="I12" i="18"/>
  <c r="O11" i="18"/>
  <c r="N11" i="18"/>
  <c r="M11" i="18"/>
  <c r="L11" i="18"/>
  <c r="K11" i="18"/>
  <c r="J11" i="18"/>
  <c r="I11" i="18"/>
  <c r="M10" i="18"/>
  <c r="L10" i="18"/>
  <c r="K10" i="18"/>
  <c r="J10" i="18"/>
  <c r="I10" i="18"/>
  <c r="O9" i="18"/>
  <c r="N9" i="18"/>
  <c r="M9" i="18"/>
  <c r="L9" i="18"/>
  <c r="K9" i="18"/>
  <c r="J9" i="18"/>
  <c r="I9" i="18"/>
  <c r="O8" i="18"/>
  <c r="N8" i="18"/>
  <c r="M8" i="18"/>
  <c r="L8" i="18"/>
  <c r="K8" i="18"/>
  <c r="J8" i="18"/>
  <c r="I8" i="18"/>
  <c r="O7" i="18"/>
  <c r="N7" i="18"/>
  <c r="M7" i="18"/>
  <c r="L7" i="18"/>
  <c r="K7" i="18"/>
  <c r="J7" i="18"/>
  <c r="I7" i="18"/>
  <c r="O6" i="18"/>
  <c r="N6" i="18"/>
  <c r="M6" i="18"/>
  <c r="L6" i="18"/>
  <c r="K6" i="18"/>
  <c r="J6" i="18"/>
  <c r="I6" i="18"/>
  <c r="O5" i="18"/>
  <c r="N5" i="18"/>
  <c r="M5" i="18"/>
  <c r="L5" i="18"/>
  <c r="K5" i="18"/>
  <c r="J5" i="18"/>
  <c r="I5" i="18"/>
  <c r="O4" i="18"/>
  <c r="N4" i="18"/>
  <c r="M4" i="18"/>
  <c r="L4" i="18"/>
  <c r="K4" i="18"/>
  <c r="J4" i="18"/>
  <c r="I4" i="18"/>
  <c r="L3" i="18"/>
  <c r="K3" i="18"/>
  <c r="J3" i="18"/>
  <c r="I3" i="18" s="1"/>
  <c r="H3" i="18" s="1"/>
  <c r="G3" i="18" s="1"/>
  <c r="F3" i="18" s="1"/>
  <c r="E3" i="18" s="1"/>
  <c r="D3" i="18" s="1"/>
  <c r="O54" i="4"/>
  <c r="N54" i="4"/>
  <c r="M54" i="4"/>
  <c r="L54" i="4"/>
  <c r="K54" i="4"/>
  <c r="J54" i="4"/>
  <c r="I54" i="4"/>
  <c r="N49" i="4"/>
  <c r="M49" i="4"/>
  <c r="L49" i="4"/>
  <c r="K49" i="4"/>
  <c r="N48" i="4"/>
  <c r="M48" i="4"/>
  <c r="L48" i="4"/>
  <c r="K48" i="4"/>
  <c r="O47" i="4"/>
  <c r="N47" i="4"/>
  <c r="M47" i="4"/>
  <c r="L47" i="4"/>
  <c r="K47" i="4"/>
  <c r="O46" i="4"/>
  <c r="N46" i="4"/>
  <c r="M46" i="4"/>
  <c r="L46" i="4"/>
  <c r="K46" i="4"/>
  <c r="L44" i="4"/>
  <c r="K44" i="4"/>
  <c r="N43" i="4"/>
  <c r="M43" i="4"/>
  <c r="L43" i="4"/>
  <c r="K43" i="4"/>
  <c r="O42" i="4"/>
  <c r="N42" i="4"/>
  <c r="M42" i="4"/>
  <c r="L42" i="4"/>
  <c r="K42" i="4"/>
  <c r="J42" i="4"/>
  <c r="I42" i="4"/>
  <c r="H42" i="4"/>
  <c r="G42" i="4"/>
  <c r="F42" i="4"/>
  <c r="E42" i="4"/>
  <c r="D42" i="4"/>
  <c r="O41" i="4"/>
  <c r="N41" i="4"/>
  <c r="M41" i="4"/>
  <c r="L41" i="4"/>
  <c r="K41" i="4"/>
  <c r="J41" i="4"/>
  <c r="I41" i="4"/>
  <c r="H41" i="4"/>
  <c r="G41" i="4"/>
  <c r="F41" i="4"/>
  <c r="E41" i="4"/>
  <c r="D41" i="4"/>
  <c r="O39" i="4"/>
  <c r="N39" i="4"/>
  <c r="M39" i="4"/>
  <c r="L39" i="4"/>
  <c r="K39" i="4"/>
  <c r="O37" i="4"/>
  <c r="N37" i="4"/>
  <c r="M37" i="4"/>
  <c r="L37" i="4"/>
  <c r="K37" i="4"/>
  <c r="O34" i="4"/>
  <c r="N34" i="4"/>
  <c r="J32" i="4"/>
  <c r="J25" i="1" s="1"/>
  <c r="I32" i="4"/>
  <c r="I25" i="1" s="1"/>
  <c r="M30" i="4"/>
  <c r="M23" i="1" s="1"/>
  <c r="L30" i="4"/>
  <c r="L23" i="1" s="1"/>
  <c r="K30" i="4"/>
  <c r="K23" i="1" s="1"/>
  <c r="J30" i="4"/>
  <c r="J23" i="1" s="1"/>
  <c r="I30" i="4"/>
  <c r="I23" i="1" s="1"/>
  <c r="O29" i="4"/>
  <c r="N24" i="4"/>
  <c r="M24" i="4"/>
  <c r="L24" i="4"/>
  <c r="K24" i="4"/>
  <c r="J24" i="4"/>
  <c r="I24" i="4"/>
  <c r="N22" i="4"/>
  <c r="M22" i="4"/>
  <c r="L22" i="4"/>
  <c r="K22" i="4"/>
  <c r="J22" i="4"/>
  <c r="I22" i="4"/>
  <c r="J20" i="4"/>
  <c r="I20" i="4"/>
  <c r="J19" i="4"/>
  <c r="I19" i="4"/>
  <c r="O17" i="4"/>
  <c r="N17" i="4"/>
  <c r="M17" i="4"/>
  <c r="L17" i="4"/>
  <c r="K17" i="4"/>
  <c r="J17" i="4"/>
  <c r="I17" i="4"/>
  <c r="N16" i="4"/>
  <c r="M16" i="4"/>
  <c r="L16" i="4"/>
  <c r="K16" i="4"/>
  <c r="J16" i="4"/>
  <c r="I16" i="4"/>
  <c r="O14" i="4"/>
  <c r="N14" i="4"/>
  <c r="M14" i="4"/>
  <c r="L14" i="4"/>
  <c r="K14" i="4"/>
  <c r="J14" i="4"/>
  <c r="I14" i="4"/>
  <c r="N13" i="4"/>
  <c r="M13" i="4"/>
  <c r="L13" i="4"/>
  <c r="K13" i="4"/>
  <c r="J13" i="4"/>
  <c r="I13" i="4"/>
  <c r="O11" i="4"/>
  <c r="N11" i="4"/>
  <c r="M11" i="4"/>
  <c r="L11" i="4"/>
  <c r="K11" i="4"/>
  <c r="J11" i="4"/>
  <c r="I11" i="4"/>
  <c r="N10" i="4"/>
  <c r="M10" i="4"/>
  <c r="L10" i="4"/>
  <c r="K10" i="4"/>
  <c r="J10" i="4"/>
  <c r="I10" i="4"/>
  <c r="P9" i="4"/>
  <c r="P29" i="4" s="1"/>
  <c r="O9" i="4"/>
  <c r="N9" i="4"/>
  <c r="N29" i="4" s="1"/>
  <c r="M9" i="4"/>
  <c r="M29" i="4" s="1"/>
  <c r="Q4" i="4"/>
  <c r="Q27" i="1" s="1"/>
  <c r="P4" i="4"/>
  <c r="P27" i="1" s="1"/>
  <c r="O4" i="4"/>
  <c r="O27" i="1" s="1"/>
  <c r="N4" i="4"/>
  <c r="N27" i="1" s="1"/>
  <c r="M4" i="4"/>
  <c r="M27" i="1" s="1"/>
  <c r="L4" i="4"/>
  <c r="L27" i="1" s="1"/>
  <c r="K4" i="4"/>
  <c r="K27" i="1" s="1"/>
  <c r="J4" i="4"/>
  <c r="J27" i="1" s="1"/>
  <c r="L3" i="4"/>
  <c r="L9" i="4" s="1"/>
  <c r="L29" i="4" s="1"/>
  <c r="K3" i="4"/>
  <c r="K9" i="4" s="1"/>
  <c r="K29" i="4" s="1"/>
  <c r="J3" i="4"/>
  <c r="I3" i="4" s="1"/>
  <c r="O219" i="14"/>
  <c r="N219" i="14"/>
  <c r="M219" i="14"/>
  <c r="L219" i="14"/>
  <c r="K219" i="14"/>
  <c r="J219" i="14"/>
  <c r="I219" i="14"/>
  <c r="Q218" i="14"/>
  <c r="P218" i="14"/>
  <c r="O218" i="14"/>
  <c r="N218" i="14"/>
  <c r="M218" i="14"/>
  <c r="L218" i="14"/>
  <c r="K218" i="14"/>
  <c r="J218" i="14"/>
  <c r="I218" i="14"/>
  <c r="Q217" i="14"/>
  <c r="P217" i="14"/>
  <c r="O217" i="14"/>
  <c r="N217" i="14"/>
  <c r="M217" i="14"/>
  <c r="L217" i="14"/>
  <c r="K217" i="14"/>
  <c r="J217" i="14"/>
  <c r="I217" i="14"/>
  <c r="Q215" i="14"/>
  <c r="P215" i="14"/>
  <c r="O215" i="14"/>
  <c r="N215" i="14"/>
  <c r="M215" i="14"/>
  <c r="L215" i="14"/>
  <c r="K215" i="14"/>
  <c r="J215" i="14"/>
  <c r="I215" i="14"/>
  <c r="Q214" i="14"/>
  <c r="P214" i="14"/>
  <c r="O214" i="14"/>
  <c r="N214" i="14"/>
  <c r="M214" i="14"/>
  <c r="L214" i="14"/>
  <c r="K214" i="14"/>
  <c r="J214" i="14"/>
  <c r="I214" i="14"/>
  <c r="Q213" i="14"/>
  <c r="P213" i="14"/>
  <c r="O213" i="14"/>
  <c r="N213" i="14"/>
  <c r="M213" i="14"/>
  <c r="L213" i="14"/>
  <c r="K213" i="14"/>
  <c r="J213" i="14"/>
  <c r="I213" i="14"/>
  <c r="Q212" i="14"/>
  <c r="P212" i="14"/>
  <c r="O212" i="14"/>
  <c r="N212" i="14"/>
  <c r="M212" i="14"/>
  <c r="L212" i="14"/>
  <c r="K212" i="14"/>
  <c r="J212" i="14"/>
  <c r="I212" i="14"/>
  <c r="Q211" i="14"/>
  <c r="P211" i="14"/>
  <c r="O211" i="14"/>
  <c r="N211" i="14"/>
  <c r="M211" i="14"/>
  <c r="L211" i="14"/>
  <c r="K211" i="14"/>
  <c r="J211" i="14"/>
  <c r="I211" i="14"/>
  <c r="O210" i="14"/>
  <c r="N210" i="14"/>
  <c r="M210" i="14"/>
  <c r="L210" i="14"/>
  <c r="K210" i="14"/>
  <c r="J210" i="14"/>
  <c r="I210" i="14"/>
  <c r="Q208" i="14"/>
  <c r="P208" i="14"/>
  <c r="O208" i="14"/>
  <c r="N208" i="14"/>
  <c r="M208" i="14"/>
  <c r="L208" i="14"/>
  <c r="K208" i="14"/>
  <c r="J208" i="14"/>
  <c r="I208" i="14"/>
  <c r="I207" i="14"/>
  <c r="Q206" i="14"/>
  <c r="P206" i="14"/>
  <c r="O206" i="14"/>
  <c r="N206" i="14"/>
  <c r="M206" i="14"/>
  <c r="L206" i="14"/>
  <c r="K206" i="14"/>
  <c r="J206" i="14"/>
  <c r="I206" i="14"/>
  <c r="O205" i="14"/>
  <c r="N205" i="14"/>
  <c r="M205" i="14"/>
  <c r="L205" i="14"/>
  <c r="K205" i="14"/>
  <c r="J205" i="14"/>
  <c r="I205" i="14"/>
  <c r="Q204" i="14"/>
  <c r="P204" i="14"/>
  <c r="O204" i="14"/>
  <c r="N204" i="14"/>
  <c r="M204" i="14"/>
  <c r="L204" i="14"/>
  <c r="K204" i="14"/>
  <c r="J204" i="14"/>
  <c r="I204" i="14"/>
  <c r="Q203" i="14"/>
  <c r="P203" i="14"/>
  <c r="O203" i="14"/>
  <c r="N203" i="14"/>
  <c r="M203" i="14"/>
  <c r="L203" i="14"/>
  <c r="K203" i="14"/>
  <c r="J203" i="14"/>
  <c r="I203" i="14"/>
  <c r="Q202" i="14"/>
  <c r="P202" i="14"/>
  <c r="O202" i="14"/>
  <c r="N202" i="14"/>
  <c r="M202" i="14"/>
  <c r="L202" i="14"/>
  <c r="K202" i="14"/>
  <c r="J202" i="14"/>
  <c r="I202" i="14"/>
  <c r="Q201" i="14"/>
  <c r="P201" i="14"/>
  <c r="O201" i="14"/>
  <c r="N201" i="14"/>
  <c r="M201" i="14"/>
  <c r="L201" i="14"/>
  <c r="K201" i="14"/>
  <c r="J201" i="14"/>
  <c r="I201" i="14"/>
  <c r="O200" i="14"/>
  <c r="N200" i="14"/>
  <c r="M200" i="14"/>
  <c r="L200" i="14"/>
  <c r="K200" i="14"/>
  <c r="J200" i="14"/>
  <c r="I200" i="14"/>
  <c r="O198" i="14"/>
  <c r="N198" i="14"/>
  <c r="M198" i="14"/>
  <c r="L198" i="14"/>
  <c r="K198" i="14"/>
  <c r="J198" i="14"/>
  <c r="I198" i="14"/>
  <c r="O196" i="14"/>
  <c r="N196" i="14"/>
  <c r="M196" i="14"/>
  <c r="L196" i="14"/>
  <c r="K196" i="14"/>
  <c r="J196" i="14"/>
  <c r="I196" i="14"/>
  <c r="O195" i="14"/>
  <c r="N195" i="14"/>
  <c r="M195" i="14"/>
  <c r="L195" i="14"/>
  <c r="K195" i="14"/>
  <c r="J195" i="14"/>
  <c r="I195" i="14"/>
  <c r="Q194" i="14"/>
  <c r="P194" i="14"/>
  <c r="O194" i="14"/>
  <c r="N194" i="14"/>
  <c r="M194" i="14"/>
  <c r="L194" i="14"/>
  <c r="K194" i="14"/>
  <c r="J194" i="14"/>
  <c r="I194" i="14"/>
  <c r="Q193" i="14"/>
  <c r="P193" i="14"/>
  <c r="O193" i="14"/>
  <c r="N193" i="14"/>
  <c r="M193" i="14"/>
  <c r="L193" i="14"/>
  <c r="K193" i="14"/>
  <c r="J193" i="14"/>
  <c r="I193" i="14"/>
  <c r="Q192" i="14"/>
  <c r="P192" i="14"/>
  <c r="O192" i="14"/>
  <c r="N192" i="14"/>
  <c r="M192" i="14"/>
  <c r="L192" i="14"/>
  <c r="K192" i="14"/>
  <c r="J192" i="14"/>
  <c r="I192" i="14"/>
  <c r="Q191" i="14"/>
  <c r="P191" i="14"/>
  <c r="O191" i="14"/>
  <c r="N191" i="14"/>
  <c r="M191" i="14"/>
  <c r="L191" i="14"/>
  <c r="K191" i="14"/>
  <c r="J191" i="14"/>
  <c r="I191" i="14"/>
  <c r="O190" i="14"/>
  <c r="N190" i="14"/>
  <c r="M190" i="14"/>
  <c r="L190" i="14"/>
  <c r="K190" i="14"/>
  <c r="J190" i="14"/>
  <c r="I190" i="14"/>
  <c r="Q187" i="14"/>
  <c r="P187" i="14"/>
  <c r="O187" i="14"/>
  <c r="N187" i="14"/>
  <c r="M187" i="14"/>
  <c r="L187" i="14"/>
  <c r="K187" i="14"/>
  <c r="J187" i="14"/>
  <c r="I187" i="14"/>
  <c r="Q186" i="14"/>
  <c r="P186" i="14"/>
  <c r="O186" i="14"/>
  <c r="N186" i="14"/>
  <c r="M186" i="14"/>
  <c r="L186" i="14"/>
  <c r="K186" i="14"/>
  <c r="J186" i="14"/>
  <c r="I186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B180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B179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U162" i="14"/>
  <c r="T162" i="14"/>
  <c r="S162" i="14"/>
  <c r="R162" i="14"/>
  <c r="Q162" i="14"/>
  <c r="P162" i="14"/>
  <c r="O162" i="14"/>
  <c r="N162" i="14"/>
  <c r="M162" i="14"/>
  <c r="L162" i="14"/>
  <c r="K162" i="14"/>
  <c r="J162" i="14"/>
  <c r="I162" i="14"/>
  <c r="U161" i="14"/>
  <c r="T161" i="14"/>
  <c r="S161" i="14"/>
  <c r="R161" i="14"/>
  <c r="Q161" i="14"/>
  <c r="P161" i="14"/>
  <c r="O161" i="14"/>
  <c r="N161" i="14"/>
  <c r="M161" i="14"/>
  <c r="L161" i="14"/>
  <c r="K161" i="14"/>
  <c r="J161" i="14"/>
  <c r="I161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U112" i="14"/>
  <c r="T112" i="14"/>
  <c r="S112" i="14"/>
  <c r="R112" i="14"/>
  <c r="Q112" i="14"/>
  <c r="P112" i="14"/>
  <c r="O112" i="14"/>
  <c r="N112" i="14"/>
  <c r="M112" i="14"/>
  <c r="L112" i="14"/>
  <c r="K112" i="14"/>
  <c r="J112" i="14"/>
  <c r="I112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U103" i="14"/>
  <c r="T103" i="14"/>
  <c r="S103" i="14"/>
  <c r="R103" i="14"/>
  <c r="Q103" i="14"/>
  <c r="P103" i="14"/>
  <c r="O103" i="14"/>
  <c r="N103" i="14"/>
  <c r="M103" i="14"/>
  <c r="L103" i="14"/>
  <c r="K103" i="14"/>
  <c r="J103" i="14"/>
  <c r="I103" i="14"/>
  <c r="U102" i="14"/>
  <c r="T102" i="14"/>
  <c r="S102" i="14"/>
  <c r="R102" i="14"/>
  <c r="Q102" i="14"/>
  <c r="P102" i="14"/>
  <c r="O102" i="14"/>
  <c r="N102" i="14"/>
  <c r="M102" i="14"/>
  <c r="L102" i="14"/>
  <c r="K102" i="14"/>
  <c r="J102" i="14"/>
  <c r="I102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U97" i="14"/>
  <c r="O97" i="14"/>
  <c r="N97" i="14"/>
  <c r="M97" i="14"/>
  <c r="L97" i="14"/>
  <c r="K97" i="14"/>
  <c r="J97" i="14"/>
  <c r="I97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N37" i="14"/>
  <c r="M37" i="14"/>
  <c r="L37" i="14"/>
  <c r="K37" i="14"/>
  <c r="J37" i="14"/>
  <c r="I37" i="14"/>
  <c r="N36" i="14"/>
  <c r="M36" i="14"/>
  <c r="L36" i="14"/>
  <c r="K36" i="14"/>
  <c r="J36" i="14"/>
  <c r="I36" i="14"/>
  <c r="U35" i="14"/>
  <c r="N35" i="14"/>
  <c r="M35" i="14"/>
  <c r="L35" i="14"/>
  <c r="K35" i="14"/>
  <c r="J35" i="14"/>
  <c r="I35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U31" i="14"/>
  <c r="O31" i="14"/>
  <c r="N31" i="14"/>
  <c r="M31" i="14"/>
  <c r="L31" i="14"/>
  <c r="K31" i="14"/>
  <c r="J31" i="14"/>
  <c r="I31" i="14"/>
  <c r="U30" i="14"/>
  <c r="O30" i="14"/>
  <c r="N30" i="14"/>
  <c r="M30" i="14"/>
  <c r="L30" i="14"/>
  <c r="K30" i="14"/>
  <c r="J30" i="14"/>
  <c r="I30" i="14"/>
  <c r="U29" i="14"/>
  <c r="O29" i="14"/>
  <c r="N29" i="14"/>
  <c r="M29" i="14"/>
  <c r="L29" i="14"/>
  <c r="K29" i="14"/>
  <c r="J29" i="14"/>
  <c r="I29" i="14"/>
  <c r="U28" i="14"/>
  <c r="O28" i="14"/>
  <c r="N28" i="14"/>
  <c r="M28" i="14"/>
  <c r="L28" i="14"/>
  <c r="K28" i="14"/>
  <c r="J28" i="14"/>
  <c r="I28" i="14"/>
  <c r="U27" i="14"/>
  <c r="O27" i="14"/>
  <c r="N27" i="14"/>
  <c r="M27" i="14"/>
  <c r="L27" i="14"/>
  <c r="K27" i="14"/>
  <c r="J27" i="14"/>
  <c r="I27" i="14"/>
  <c r="U26" i="14"/>
  <c r="O26" i="14"/>
  <c r="N26" i="14"/>
  <c r="M26" i="14"/>
  <c r="L26" i="14"/>
  <c r="K26" i="14"/>
  <c r="J26" i="14"/>
  <c r="I26" i="14"/>
  <c r="U25" i="14"/>
  <c r="O25" i="14"/>
  <c r="N25" i="14"/>
  <c r="M25" i="14"/>
  <c r="L25" i="14"/>
  <c r="K25" i="14"/>
  <c r="J25" i="14"/>
  <c r="I25" i="14"/>
  <c r="U24" i="14"/>
  <c r="O24" i="14"/>
  <c r="N24" i="14"/>
  <c r="M24" i="14"/>
  <c r="L24" i="14"/>
  <c r="K24" i="14"/>
  <c r="J24" i="14"/>
  <c r="I24" i="14"/>
  <c r="U23" i="14"/>
  <c r="O23" i="14"/>
  <c r="N23" i="14"/>
  <c r="M23" i="14"/>
  <c r="L23" i="14"/>
  <c r="K23" i="14"/>
  <c r="J23" i="14"/>
  <c r="I23" i="14"/>
  <c r="U22" i="14"/>
  <c r="O22" i="14"/>
  <c r="N22" i="14"/>
  <c r="M22" i="14"/>
  <c r="L22" i="14"/>
  <c r="K22" i="14"/>
  <c r="J22" i="14"/>
  <c r="I22" i="14"/>
  <c r="U21" i="14"/>
  <c r="O21" i="14"/>
  <c r="N21" i="14"/>
  <c r="M21" i="14"/>
  <c r="L21" i="14"/>
  <c r="K21" i="14"/>
  <c r="J21" i="14"/>
  <c r="I21" i="14"/>
  <c r="U20" i="14"/>
  <c r="O20" i="14"/>
  <c r="N20" i="14"/>
  <c r="M20" i="14"/>
  <c r="L20" i="14"/>
  <c r="K20" i="14"/>
  <c r="J20" i="14"/>
  <c r="I20" i="14"/>
  <c r="U18" i="14"/>
  <c r="O18" i="14"/>
  <c r="N18" i="14"/>
  <c r="M18" i="14"/>
  <c r="L18" i="14"/>
  <c r="K18" i="14"/>
  <c r="J18" i="14"/>
  <c r="I18" i="14"/>
  <c r="U17" i="14"/>
  <c r="O17" i="14"/>
  <c r="N17" i="14"/>
  <c r="M17" i="14"/>
  <c r="L17" i="14"/>
  <c r="K17" i="14"/>
  <c r="J17" i="14"/>
  <c r="I17" i="14"/>
  <c r="U16" i="14"/>
  <c r="O16" i="14"/>
  <c r="N16" i="14"/>
  <c r="M16" i="14"/>
  <c r="L16" i="14"/>
  <c r="K16" i="14"/>
  <c r="J16" i="14"/>
  <c r="I16" i="14"/>
  <c r="U15" i="14"/>
  <c r="O15" i="14"/>
  <c r="N15" i="14"/>
  <c r="M15" i="14"/>
  <c r="L15" i="14"/>
  <c r="K15" i="14"/>
  <c r="J15" i="14"/>
  <c r="I15" i="14"/>
  <c r="U14" i="14"/>
  <c r="O14" i="14"/>
  <c r="N14" i="14"/>
  <c r="M14" i="14"/>
  <c r="L14" i="14"/>
  <c r="K14" i="14"/>
  <c r="J14" i="14"/>
  <c r="I14" i="14"/>
  <c r="U13" i="14"/>
  <c r="O13" i="14"/>
  <c r="N13" i="14"/>
  <c r="M13" i="14"/>
  <c r="L13" i="14"/>
  <c r="K13" i="14"/>
  <c r="J13" i="14"/>
  <c r="I13" i="14"/>
  <c r="U12" i="14"/>
  <c r="O12" i="14"/>
  <c r="N12" i="14"/>
  <c r="M12" i="14"/>
  <c r="L12" i="14"/>
  <c r="K12" i="14"/>
  <c r="J12" i="14"/>
  <c r="I12" i="14"/>
  <c r="U11" i="14"/>
  <c r="O11" i="14"/>
  <c r="N11" i="14"/>
  <c r="M11" i="14"/>
  <c r="L11" i="14"/>
  <c r="K11" i="14"/>
  <c r="J11" i="14"/>
  <c r="I11" i="14"/>
  <c r="U10" i="14"/>
  <c r="O10" i="14"/>
  <c r="N10" i="14"/>
  <c r="M10" i="14"/>
  <c r="L10" i="14"/>
  <c r="K10" i="14"/>
  <c r="J10" i="14"/>
  <c r="I10" i="14"/>
  <c r="U9" i="14"/>
  <c r="O9" i="14"/>
  <c r="N9" i="14"/>
  <c r="M9" i="14"/>
  <c r="L9" i="14"/>
  <c r="K9" i="14"/>
  <c r="J9" i="14"/>
  <c r="I9" i="14"/>
  <c r="U8" i="14"/>
  <c r="O8" i="14"/>
  <c r="N8" i="14"/>
  <c r="M8" i="14"/>
  <c r="L8" i="14"/>
  <c r="K8" i="14"/>
  <c r="J8" i="14"/>
  <c r="I8" i="14"/>
  <c r="U7" i="14"/>
  <c r="O7" i="14"/>
  <c r="N7" i="14"/>
  <c r="M7" i="14"/>
  <c r="L7" i="14"/>
  <c r="K7" i="14"/>
  <c r="J7" i="14"/>
  <c r="I7" i="14"/>
  <c r="U6" i="14"/>
  <c r="O6" i="14"/>
  <c r="N6" i="14"/>
  <c r="M6" i="14"/>
  <c r="L6" i="14"/>
  <c r="K6" i="14"/>
  <c r="J6" i="14"/>
  <c r="I6" i="14"/>
  <c r="L3" i="14"/>
  <c r="K3" i="14" s="1"/>
  <c r="J3" i="14" s="1"/>
  <c r="I3" i="14" s="1"/>
  <c r="H3" i="14" s="1"/>
  <c r="G3" i="14" s="1"/>
  <c r="F3" i="14" s="1"/>
  <c r="E3" i="14" s="1"/>
  <c r="D3" i="14" s="1"/>
  <c r="O51" i="3"/>
  <c r="N51" i="3"/>
  <c r="M51" i="3"/>
  <c r="L51" i="3"/>
  <c r="K51" i="3"/>
  <c r="J51" i="3"/>
  <c r="I51" i="3"/>
  <c r="O50" i="3"/>
  <c r="N50" i="3"/>
  <c r="M50" i="3"/>
  <c r="L50" i="3"/>
  <c r="K50" i="3"/>
  <c r="J50" i="3"/>
  <c r="I50" i="3"/>
  <c r="O49" i="3"/>
  <c r="N49" i="3"/>
  <c r="M49" i="3"/>
  <c r="L49" i="3"/>
  <c r="K49" i="3"/>
  <c r="J49" i="3"/>
  <c r="I49" i="3"/>
  <c r="O47" i="3"/>
  <c r="N47" i="3"/>
  <c r="M47" i="3"/>
  <c r="L47" i="3"/>
  <c r="K47" i="3"/>
  <c r="J47" i="3"/>
  <c r="I47" i="3"/>
  <c r="O46" i="3"/>
  <c r="N46" i="3"/>
  <c r="M46" i="3"/>
  <c r="L46" i="3"/>
  <c r="K46" i="3"/>
  <c r="J46" i="3"/>
  <c r="I46" i="3"/>
  <c r="O45" i="3"/>
  <c r="N45" i="3"/>
  <c r="M45" i="3"/>
  <c r="L45" i="3"/>
  <c r="K45" i="3"/>
  <c r="J45" i="3"/>
  <c r="I45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O42" i="3"/>
  <c r="N42" i="3"/>
  <c r="M42" i="3"/>
  <c r="L42" i="3"/>
  <c r="K42" i="3"/>
  <c r="J42" i="3"/>
  <c r="I42" i="3"/>
  <c r="O41" i="3"/>
  <c r="N41" i="3"/>
  <c r="M41" i="3"/>
  <c r="L41" i="3"/>
  <c r="K41" i="3"/>
  <c r="J41" i="3"/>
  <c r="I41" i="3"/>
  <c r="O39" i="3"/>
  <c r="N39" i="3"/>
  <c r="M39" i="3"/>
  <c r="L39" i="3"/>
  <c r="K39" i="3"/>
  <c r="J39" i="3"/>
  <c r="I39" i="3"/>
  <c r="O38" i="3"/>
  <c r="N38" i="3"/>
  <c r="M38" i="3"/>
  <c r="L38" i="3"/>
  <c r="K38" i="3"/>
  <c r="J38" i="3"/>
  <c r="I38" i="3"/>
  <c r="O37" i="3"/>
  <c r="N37" i="3"/>
  <c r="M37" i="3"/>
  <c r="L37" i="3"/>
  <c r="K37" i="3"/>
  <c r="J37" i="3"/>
  <c r="I37" i="3"/>
  <c r="O35" i="3"/>
  <c r="N35" i="3"/>
  <c r="M35" i="3"/>
  <c r="L35" i="3"/>
  <c r="K35" i="3"/>
  <c r="J35" i="3"/>
  <c r="I35" i="3"/>
  <c r="O34" i="3"/>
  <c r="N34" i="3"/>
  <c r="M34" i="3"/>
  <c r="L34" i="3"/>
  <c r="K34" i="3"/>
  <c r="J34" i="3"/>
  <c r="I34" i="3"/>
  <c r="O33" i="3"/>
  <c r="N33" i="3"/>
  <c r="M33" i="3"/>
  <c r="L33" i="3"/>
  <c r="K33" i="3"/>
  <c r="J33" i="3"/>
  <c r="I33" i="3"/>
  <c r="O31" i="3"/>
  <c r="N31" i="3"/>
  <c r="M31" i="3"/>
  <c r="L31" i="3"/>
  <c r="K31" i="3"/>
  <c r="J31" i="3"/>
  <c r="I31" i="3"/>
  <c r="O30" i="3"/>
  <c r="N30" i="3"/>
  <c r="M30" i="3"/>
  <c r="L30" i="3"/>
  <c r="K30" i="3"/>
  <c r="J30" i="3"/>
  <c r="I30" i="3"/>
  <c r="O29" i="3"/>
  <c r="N29" i="3"/>
  <c r="M29" i="3"/>
  <c r="L29" i="3"/>
  <c r="K29" i="3"/>
  <c r="J29" i="3"/>
  <c r="I29" i="3"/>
  <c r="O27" i="3"/>
  <c r="N27" i="3"/>
  <c r="M27" i="3"/>
  <c r="L27" i="3"/>
  <c r="K27" i="3"/>
  <c r="J27" i="3"/>
  <c r="I27" i="3"/>
  <c r="O26" i="3"/>
  <c r="N26" i="3"/>
  <c r="M26" i="3"/>
  <c r="L26" i="3"/>
  <c r="K26" i="3"/>
  <c r="J26" i="3"/>
  <c r="I26" i="3"/>
  <c r="O25" i="3"/>
  <c r="N25" i="3"/>
  <c r="M25" i="3"/>
  <c r="L25" i="3"/>
  <c r="K25" i="3"/>
  <c r="J25" i="3"/>
  <c r="I25" i="3"/>
  <c r="O23" i="3"/>
  <c r="N23" i="3"/>
  <c r="M23" i="3"/>
  <c r="L23" i="3"/>
  <c r="K23" i="3"/>
  <c r="J23" i="3"/>
  <c r="I23" i="3"/>
  <c r="O22" i="3"/>
  <c r="N22" i="3"/>
  <c r="M22" i="3"/>
  <c r="L22" i="3"/>
  <c r="K22" i="3"/>
  <c r="J22" i="3"/>
  <c r="I22" i="3"/>
  <c r="O21" i="3"/>
  <c r="N21" i="3"/>
  <c r="M21" i="3"/>
  <c r="L21" i="3"/>
  <c r="K21" i="3"/>
  <c r="J21" i="3"/>
  <c r="I21" i="3"/>
  <c r="O17" i="3"/>
  <c r="N17" i="3"/>
  <c r="M17" i="3"/>
  <c r="L17" i="3"/>
  <c r="K17" i="3"/>
  <c r="J17" i="3"/>
  <c r="I17" i="3"/>
  <c r="O15" i="3"/>
  <c r="N15" i="3"/>
  <c r="M15" i="3"/>
  <c r="L15" i="3"/>
  <c r="K15" i="3"/>
  <c r="J15" i="3"/>
  <c r="I15" i="3"/>
  <c r="O14" i="3"/>
  <c r="N14" i="3"/>
  <c r="M14" i="3"/>
  <c r="L14" i="3"/>
  <c r="K14" i="3"/>
  <c r="J14" i="3"/>
  <c r="I14" i="3"/>
  <c r="O13" i="3"/>
  <c r="N13" i="3"/>
  <c r="M13" i="3"/>
  <c r="L13" i="3"/>
  <c r="K13" i="3"/>
  <c r="J13" i="3"/>
  <c r="I13" i="3"/>
  <c r="O9" i="3"/>
  <c r="N9" i="3"/>
  <c r="M9" i="3"/>
  <c r="L9" i="3"/>
  <c r="K9" i="3"/>
  <c r="J9" i="3"/>
  <c r="I9" i="3"/>
  <c r="L3" i="3"/>
  <c r="K3" i="3" s="1"/>
  <c r="J3" i="3" s="1"/>
  <c r="I3" i="3" s="1"/>
  <c r="H3" i="3" s="1"/>
  <c r="G3" i="3" s="1"/>
  <c r="F3" i="3" s="1"/>
  <c r="E3" i="3" s="1"/>
  <c r="D3" i="3" s="1"/>
  <c r="O276" i="2"/>
  <c r="N276" i="2"/>
  <c r="M276" i="2"/>
  <c r="L276" i="2"/>
  <c r="K276" i="2"/>
  <c r="J276" i="2"/>
  <c r="I276" i="2"/>
  <c r="O275" i="2"/>
  <c r="N275" i="2"/>
  <c r="M275" i="2"/>
  <c r="L275" i="2"/>
  <c r="K275" i="2"/>
  <c r="J275" i="2"/>
  <c r="I275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O273" i="2"/>
  <c r="N273" i="2"/>
  <c r="M273" i="2"/>
  <c r="L273" i="2"/>
  <c r="K273" i="2"/>
  <c r="J273" i="2"/>
  <c r="I273" i="2"/>
  <c r="O272" i="2"/>
  <c r="N272" i="2"/>
  <c r="M272" i="2"/>
  <c r="L272" i="2"/>
  <c r="K272" i="2"/>
  <c r="J272" i="2"/>
  <c r="I272" i="2"/>
  <c r="O271" i="2"/>
  <c r="N271" i="2"/>
  <c r="M271" i="2"/>
  <c r="L271" i="2"/>
  <c r="K271" i="2"/>
  <c r="J271" i="2"/>
  <c r="I271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O268" i="2"/>
  <c r="N268" i="2"/>
  <c r="M268" i="2"/>
  <c r="L268" i="2"/>
  <c r="K268" i="2"/>
  <c r="J268" i="2"/>
  <c r="I268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O266" i="2"/>
  <c r="N266" i="2"/>
  <c r="M266" i="2"/>
  <c r="L266" i="2"/>
  <c r="K266" i="2"/>
  <c r="J266" i="2"/>
  <c r="I266" i="2"/>
  <c r="O265" i="2"/>
  <c r="N265" i="2"/>
  <c r="M265" i="2"/>
  <c r="L265" i="2"/>
  <c r="K265" i="2"/>
  <c r="J265" i="2"/>
  <c r="I265" i="2"/>
  <c r="O264" i="2"/>
  <c r="N264" i="2"/>
  <c r="M264" i="2"/>
  <c r="L264" i="2"/>
  <c r="K264" i="2"/>
  <c r="J264" i="2"/>
  <c r="I264" i="2"/>
  <c r="O262" i="2"/>
  <c r="N262" i="2"/>
  <c r="M262" i="2"/>
  <c r="L262" i="2"/>
  <c r="K262" i="2"/>
  <c r="J262" i="2"/>
  <c r="I262" i="2"/>
  <c r="O261" i="2"/>
  <c r="N261" i="2"/>
  <c r="M261" i="2"/>
  <c r="L261" i="2"/>
  <c r="K261" i="2"/>
  <c r="J261" i="2"/>
  <c r="I261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O259" i="2"/>
  <c r="N259" i="2"/>
  <c r="M259" i="2"/>
  <c r="L259" i="2"/>
  <c r="K259" i="2"/>
  <c r="J259" i="2"/>
  <c r="I259" i="2"/>
  <c r="O258" i="2"/>
  <c r="N258" i="2"/>
  <c r="M258" i="2"/>
  <c r="L258" i="2"/>
  <c r="K258" i="2"/>
  <c r="J258" i="2"/>
  <c r="I258" i="2"/>
  <c r="O257" i="2"/>
  <c r="N257" i="2"/>
  <c r="M257" i="2"/>
  <c r="L257" i="2"/>
  <c r="K257" i="2"/>
  <c r="J257" i="2"/>
  <c r="I257" i="2"/>
  <c r="O255" i="2"/>
  <c r="N255" i="2"/>
  <c r="M255" i="2"/>
  <c r="L255" i="2"/>
  <c r="K255" i="2"/>
  <c r="J255" i="2"/>
  <c r="I255" i="2"/>
  <c r="O254" i="2"/>
  <c r="N254" i="2"/>
  <c r="M254" i="2"/>
  <c r="L254" i="2"/>
  <c r="K254" i="2"/>
  <c r="J254" i="2"/>
  <c r="I254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O252" i="2"/>
  <c r="N252" i="2"/>
  <c r="M252" i="2"/>
  <c r="L252" i="2"/>
  <c r="K252" i="2"/>
  <c r="J252" i="2"/>
  <c r="I252" i="2"/>
  <c r="O251" i="2"/>
  <c r="N251" i="2"/>
  <c r="M251" i="2"/>
  <c r="L251" i="2"/>
  <c r="K251" i="2"/>
  <c r="J251" i="2"/>
  <c r="I251" i="2"/>
  <c r="O250" i="2"/>
  <c r="N250" i="2"/>
  <c r="M250" i="2"/>
  <c r="L250" i="2"/>
  <c r="K250" i="2"/>
  <c r="J250" i="2"/>
  <c r="I250" i="2"/>
  <c r="O248" i="2"/>
  <c r="N248" i="2"/>
  <c r="M248" i="2"/>
  <c r="L248" i="2"/>
  <c r="K248" i="2"/>
  <c r="J248" i="2"/>
  <c r="I248" i="2"/>
  <c r="O247" i="2"/>
  <c r="N247" i="2"/>
  <c r="M247" i="2"/>
  <c r="L247" i="2"/>
  <c r="K247" i="2"/>
  <c r="J247" i="2"/>
  <c r="I247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O245" i="2"/>
  <c r="N245" i="2"/>
  <c r="M245" i="2"/>
  <c r="L245" i="2"/>
  <c r="K245" i="2"/>
  <c r="J245" i="2"/>
  <c r="I245" i="2"/>
  <c r="O244" i="2"/>
  <c r="N244" i="2"/>
  <c r="M244" i="2"/>
  <c r="L244" i="2"/>
  <c r="K244" i="2"/>
  <c r="J244" i="2"/>
  <c r="I244" i="2"/>
  <c r="O243" i="2"/>
  <c r="N243" i="2"/>
  <c r="M243" i="2"/>
  <c r="L243" i="2"/>
  <c r="K243" i="2"/>
  <c r="J243" i="2"/>
  <c r="I243" i="2"/>
  <c r="O241" i="2"/>
  <c r="N241" i="2"/>
  <c r="M241" i="2"/>
  <c r="L241" i="2"/>
  <c r="K241" i="2"/>
  <c r="J241" i="2"/>
  <c r="I241" i="2"/>
  <c r="O240" i="2"/>
  <c r="N240" i="2"/>
  <c r="M240" i="2"/>
  <c r="L240" i="2"/>
  <c r="K240" i="2"/>
  <c r="J240" i="2"/>
  <c r="I240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O238" i="2"/>
  <c r="N238" i="2"/>
  <c r="M238" i="2"/>
  <c r="L238" i="2"/>
  <c r="K238" i="2"/>
  <c r="J238" i="2"/>
  <c r="I238" i="2"/>
  <c r="O237" i="2"/>
  <c r="N237" i="2"/>
  <c r="M237" i="2"/>
  <c r="L237" i="2"/>
  <c r="K237" i="2"/>
  <c r="J237" i="2"/>
  <c r="I237" i="2"/>
  <c r="O236" i="2"/>
  <c r="N236" i="2"/>
  <c r="M236" i="2"/>
  <c r="L236" i="2"/>
  <c r="K236" i="2"/>
  <c r="J236" i="2"/>
  <c r="I236" i="2"/>
  <c r="O234" i="2"/>
  <c r="N234" i="2"/>
  <c r="M234" i="2"/>
  <c r="L234" i="2"/>
  <c r="K234" i="2"/>
  <c r="J234" i="2"/>
  <c r="I234" i="2"/>
  <c r="O233" i="2"/>
  <c r="N233" i="2"/>
  <c r="M233" i="2"/>
  <c r="L233" i="2"/>
  <c r="K233" i="2"/>
  <c r="J233" i="2"/>
  <c r="I233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O231" i="2"/>
  <c r="N231" i="2"/>
  <c r="M231" i="2"/>
  <c r="L231" i="2"/>
  <c r="K231" i="2"/>
  <c r="J231" i="2"/>
  <c r="I231" i="2"/>
  <c r="O230" i="2"/>
  <c r="N230" i="2"/>
  <c r="M230" i="2"/>
  <c r="L230" i="2"/>
  <c r="K230" i="2"/>
  <c r="J230" i="2"/>
  <c r="I230" i="2"/>
  <c r="O229" i="2"/>
  <c r="N229" i="2"/>
  <c r="M229" i="2"/>
  <c r="L229" i="2"/>
  <c r="K229" i="2"/>
  <c r="J229" i="2"/>
  <c r="I229" i="2"/>
  <c r="O227" i="2"/>
  <c r="N227" i="2"/>
  <c r="M227" i="2"/>
  <c r="L227" i="2"/>
  <c r="K227" i="2"/>
  <c r="J227" i="2"/>
  <c r="I227" i="2"/>
  <c r="O226" i="2"/>
  <c r="N226" i="2"/>
  <c r="M226" i="2"/>
  <c r="L226" i="2"/>
  <c r="K226" i="2"/>
  <c r="J226" i="2"/>
  <c r="I226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O224" i="2"/>
  <c r="N224" i="2"/>
  <c r="M224" i="2"/>
  <c r="L224" i="2"/>
  <c r="K224" i="2"/>
  <c r="J224" i="2"/>
  <c r="I224" i="2"/>
  <c r="O223" i="2"/>
  <c r="N223" i="2"/>
  <c r="M223" i="2"/>
  <c r="L223" i="2"/>
  <c r="K223" i="2"/>
  <c r="J223" i="2"/>
  <c r="I223" i="2"/>
  <c r="O222" i="2"/>
  <c r="N222" i="2"/>
  <c r="M222" i="2"/>
  <c r="L222" i="2"/>
  <c r="K222" i="2"/>
  <c r="J222" i="2"/>
  <c r="I222" i="2"/>
  <c r="O220" i="2"/>
  <c r="N220" i="2"/>
  <c r="M220" i="2"/>
  <c r="L220" i="2"/>
  <c r="K220" i="2"/>
  <c r="J220" i="2"/>
  <c r="I220" i="2"/>
  <c r="O219" i="2"/>
  <c r="N219" i="2"/>
  <c r="M219" i="2"/>
  <c r="L219" i="2"/>
  <c r="K219" i="2"/>
  <c r="J219" i="2"/>
  <c r="I219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O217" i="2"/>
  <c r="N217" i="2"/>
  <c r="M217" i="2"/>
  <c r="L217" i="2"/>
  <c r="K217" i="2"/>
  <c r="J217" i="2"/>
  <c r="I217" i="2"/>
  <c r="O216" i="2"/>
  <c r="N216" i="2"/>
  <c r="M216" i="2"/>
  <c r="L216" i="2"/>
  <c r="K216" i="2"/>
  <c r="J216" i="2"/>
  <c r="I216" i="2"/>
  <c r="O215" i="2"/>
  <c r="N215" i="2"/>
  <c r="M215" i="2"/>
  <c r="L215" i="2"/>
  <c r="K215" i="2"/>
  <c r="J215" i="2"/>
  <c r="I215" i="2"/>
  <c r="O213" i="2"/>
  <c r="N213" i="2"/>
  <c r="M213" i="2"/>
  <c r="L213" i="2"/>
  <c r="K213" i="2"/>
  <c r="J213" i="2"/>
  <c r="I213" i="2"/>
  <c r="O212" i="2"/>
  <c r="N212" i="2"/>
  <c r="M212" i="2"/>
  <c r="L212" i="2"/>
  <c r="K212" i="2"/>
  <c r="J212" i="2"/>
  <c r="I212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O210" i="2"/>
  <c r="N210" i="2"/>
  <c r="M210" i="2"/>
  <c r="L210" i="2"/>
  <c r="K210" i="2"/>
  <c r="J210" i="2"/>
  <c r="I210" i="2"/>
  <c r="O209" i="2"/>
  <c r="N209" i="2"/>
  <c r="M209" i="2"/>
  <c r="L209" i="2"/>
  <c r="K209" i="2"/>
  <c r="J209" i="2"/>
  <c r="I209" i="2"/>
  <c r="O208" i="2"/>
  <c r="N208" i="2"/>
  <c r="M208" i="2"/>
  <c r="L208" i="2"/>
  <c r="K208" i="2"/>
  <c r="J208" i="2"/>
  <c r="I208" i="2"/>
  <c r="O206" i="2"/>
  <c r="N206" i="2"/>
  <c r="M206" i="2"/>
  <c r="L206" i="2"/>
  <c r="K206" i="2"/>
  <c r="J206" i="2"/>
  <c r="I206" i="2"/>
  <c r="O205" i="2"/>
  <c r="N205" i="2"/>
  <c r="M205" i="2"/>
  <c r="L205" i="2"/>
  <c r="K205" i="2"/>
  <c r="J205" i="2"/>
  <c r="I205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O203" i="2"/>
  <c r="N203" i="2"/>
  <c r="M203" i="2"/>
  <c r="L203" i="2"/>
  <c r="K203" i="2"/>
  <c r="J203" i="2"/>
  <c r="I203" i="2"/>
  <c r="O202" i="2"/>
  <c r="N202" i="2"/>
  <c r="M202" i="2"/>
  <c r="L202" i="2"/>
  <c r="K202" i="2"/>
  <c r="J202" i="2"/>
  <c r="I202" i="2"/>
  <c r="O201" i="2"/>
  <c r="N201" i="2"/>
  <c r="M201" i="2"/>
  <c r="L201" i="2"/>
  <c r="K201" i="2"/>
  <c r="J201" i="2"/>
  <c r="I201" i="2"/>
  <c r="O199" i="2"/>
  <c r="N199" i="2"/>
  <c r="M199" i="2"/>
  <c r="L199" i="2"/>
  <c r="K199" i="2"/>
  <c r="J199" i="2"/>
  <c r="I199" i="2"/>
  <c r="O198" i="2"/>
  <c r="N198" i="2"/>
  <c r="M198" i="2"/>
  <c r="L198" i="2"/>
  <c r="K198" i="2"/>
  <c r="J198" i="2"/>
  <c r="I198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O196" i="2"/>
  <c r="N196" i="2"/>
  <c r="M196" i="2"/>
  <c r="L196" i="2"/>
  <c r="K196" i="2"/>
  <c r="J196" i="2"/>
  <c r="I196" i="2"/>
  <c r="O195" i="2"/>
  <c r="N195" i="2"/>
  <c r="M195" i="2"/>
  <c r="L195" i="2"/>
  <c r="K195" i="2"/>
  <c r="J195" i="2"/>
  <c r="I195" i="2"/>
  <c r="O194" i="2"/>
  <c r="N194" i="2"/>
  <c r="M194" i="2"/>
  <c r="L194" i="2"/>
  <c r="K194" i="2"/>
  <c r="J194" i="2"/>
  <c r="I194" i="2"/>
  <c r="O192" i="2"/>
  <c r="N192" i="2"/>
  <c r="M192" i="2"/>
  <c r="L192" i="2"/>
  <c r="K192" i="2"/>
  <c r="J192" i="2"/>
  <c r="I192" i="2"/>
  <c r="O191" i="2"/>
  <c r="N191" i="2"/>
  <c r="M191" i="2"/>
  <c r="L191" i="2"/>
  <c r="K191" i="2"/>
  <c r="J191" i="2"/>
  <c r="I191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O189" i="2"/>
  <c r="N189" i="2"/>
  <c r="M189" i="2"/>
  <c r="L189" i="2"/>
  <c r="K189" i="2"/>
  <c r="J189" i="2"/>
  <c r="I189" i="2"/>
  <c r="O188" i="2"/>
  <c r="N188" i="2"/>
  <c r="M188" i="2"/>
  <c r="L188" i="2"/>
  <c r="K188" i="2"/>
  <c r="J188" i="2"/>
  <c r="I188" i="2"/>
  <c r="O187" i="2"/>
  <c r="N187" i="2"/>
  <c r="M187" i="2"/>
  <c r="L187" i="2"/>
  <c r="K187" i="2"/>
  <c r="J187" i="2"/>
  <c r="I187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O185" i="2"/>
  <c r="N185" i="2"/>
  <c r="M185" i="2"/>
  <c r="L185" i="2"/>
  <c r="K185" i="2"/>
  <c r="J185" i="2"/>
  <c r="I185" i="2"/>
  <c r="O184" i="2"/>
  <c r="N184" i="2"/>
  <c r="M184" i="2"/>
  <c r="L184" i="2"/>
  <c r="K184" i="2"/>
  <c r="J184" i="2"/>
  <c r="I184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O182" i="2"/>
  <c r="N182" i="2"/>
  <c r="M182" i="2"/>
  <c r="L182" i="2"/>
  <c r="K182" i="2"/>
  <c r="J182" i="2"/>
  <c r="I182" i="2"/>
  <c r="O181" i="2"/>
  <c r="N181" i="2"/>
  <c r="M181" i="2"/>
  <c r="L181" i="2"/>
  <c r="K181" i="2"/>
  <c r="J181" i="2"/>
  <c r="I181" i="2"/>
  <c r="O180" i="2"/>
  <c r="N180" i="2"/>
  <c r="M180" i="2"/>
  <c r="L180" i="2"/>
  <c r="K180" i="2"/>
  <c r="J180" i="2"/>
  <c r="I180" i="2"/>
  <c r="O177" i="2"/>
  <c r="N177" i="2"/>
  <c r="M177" i="2"/>
  <c r="L177" i="2"/>
  <c r="K177" i="2"/>
  <c r="J177" i="2"/>
  <c r="I177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O175" i="2"/>
  <c r="N175" i="2"/>
  <c r="M175" i="2"/>
  <c r="L175" i="2"/>
  <c r="K175" i="2"/>
  <c r="J175" i="2"/>
  <c r="I175" i="2"/>
  <c r="O174" i="2"/>
  <c r="N174" i="2"/>
  <c r="M174" i="2"/>
  <c r="L174" i="2"/>
  <c r="K174" i="2"/>
  <c r="J174" i="2"/>
  <c r="I174" i="2"/>
  <c r="O173" i="2"/>
  <c r="N173" i="2"/>
  <c r="M173" i="2"/>
  <c r="L173" i="2"/>
  <c r="K173" i="2"/>
  <c r="J173" i="2"/>
  <c r="I173" i="2"/>
  <c r="O171" i="2"/>
  <c r="N171" i="2"/>
  <c r="M171" i="2"/>
  <c r="L171" i="2"/>
  <c r="K171" i="2"/>
  <c r="J171" i="2"/>
  <c r="I171" i="2"/>
  <c r="O170" i="2"/>
  <c r="N170" i="2"/>
  <c r="M170" i="2"/>
  <c r="L170" i="2"/>
  <c r="K170" i="2"/>
  <c r="J170" i="2"/>
  <c r="I170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O168" i="2"/>
  <c r="N168" i="2"/>
  <c r="M168" i="2"/>
  <c r="L168" i="2"/>
  <c r="K168" i="2"/>
  <c r="J168" i="2"/>
  <c r="I168" i="2"/>
  <c r="O167" i="2"/>
  <c r="N167" i="2"/>
  <c r="M167" i="2"/>
  <c r="L167" i="2"/>
  <c r="K167" i="2"/>
  <c r="J167" i="2"/>
  <c r="I167" i="2"/>
  <c r="O166" i="2"/>
  <c r="N166" i="2"/>
  <c r="M166" i="2"/>
  <c r="L166" i="2"/>
  <c r="K166" i="2"/>
  <c r="J166" i="2"/>
  <c r="I166" i="2"/>
  <c r="O164" i="2"/>
  <c r="N164" i="2"/>
  <c r="M164" i="2"/>
  <c r="L164" i="2"/>
  <c r="K164" i="2"/>
  <c r="J164" i="2"/>
  <c r="I164" i="2"/>
  <c r="O163" i="2"/>
  <c r="N163" i="2"/>
  <c r="M163" i="2"/>
  <c r="L163" i="2"/>
  <c r="K163" i="2"/>
  <c r="J163" i="2"/>
  <c r="I163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O161" i="2"/>
  <c r="N161" i="2"/>
  <c r="M161" i="2"/>
  <c r="L161" i="2"/>
  <c r="K161" i="2"/>
  <c r="J161" i="2"/>
  <c r="I161" i="2"/>
  <c r="O160" i="2"/>
  <c r="N160" i="2"/>
  <c r="M160" i="2"/>
  <c r="L160" i="2"/>
  <c r="K160" i="2"/>
  <c r="J160" i="2"/>
  <c r="I160" i="2"/>
  <c r="O159" i="2"/>
  <c r="N159" i="2"/>
  <c r="M159" i="2"/>
  <c r="L159" i="2"/>
  <c r="K159" i="2"/>
  <c r="J159" i="2"/>
  <c r="I159" i="2"/>
  <c r="O157" i="2"/>
  <c r="N157" i="2"/>
  <c r="M157" i="2"/>
  <c r="L157" i="2"/>
  <c r="K157" i="2"/>
  <c r="J157" i="2"/>
  <c r="I157" i="2"/>
  <c r="O156" i="2"/>
  <c r="N156" i="2"/>
  <c r="M156" i="2"/>
  <c r="L156" i="2"/>
  <c r="K156" i="2"/>
  <c r="J156" i="2"/>
  <c r="I156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O154" i="2"/>
  <c r="N154" i="2"/>
  <c r="M154" i="2"/>
  <c r="L154" i="2"/>
  <c r="K154" i="2"/>
  <c r="J154" i="2"/>
  <c r="I154" i="2"/>
  <c r="O153" i="2"/>
  <c r="N153" i="2"/>
  <c r="M153" i="2"/>
  <c r="L153" i="2"/>
  <c r="K153" i="2"/>
  <c r="J153" i="2"/>
  <c r="I153" i="2"/>
  <c r="O152" i="2"/>
  <c r="N152" i="2"/>
  <c r="M152" i="2"/>
  <c r="L152" i="2"/>
  <c r="K152" i="2"/>
  <c r="J152" i="2"/>
  <c r="I152" i="2"/>
  <c r="O150" i="2"/>
  <c r="N150" i="2"/>
  <c r="M150" i="2"/>
  <c r="L150" i="2"/>
  <c r="K150" i="2"/>
  <c r="J150" i="2"/>
  <c r="I150" i="2"/>
  <c r="O149" i="2"/>
  <c r="N149" i="2"/>
  <c r="M149" i="2"/>
  <c r="L149" i="2"/>
  <c r="K149" i="2"/>
  <c r="J149" i="2"/>
  <c r="I149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O147" i="2"/>
  <c r="N147" i="2"/>
  <c r="M147" i="2"/>
  <c r="L147" i="2"/>
  <c r="K147" i="2"/>
  <c r="J147" i="2"/>
  <c r="I147" i="2"/>
  <c r="O146" i="2"/>
  <c r="N146" i="2"/>
  <c r="M146" i="2"/>
  <c r="L146" i="2"/>
  <c r="K146" i="2"/>
  <c r="J146" i="2"/>
  <c r="I146" i="2"/>
  <c r="O145" i="2"/>
  <c r="N145" i="2"/>
  <c r="M145" i="2"/>
  <c r="L145" i="2"/>
  <c r="K145" i="2"/>
  <c r="J145" i="2"/>
  <c r="I145" i="2"/>
  <c r="L143" i="2"/>
  <c r="I143" i="2"/>
  <c r="O142" i="2"/>
  <c r="N142" i="2"/>
  <c r="M142" i="2"/>
  <c r="L142" i="2"/>
  <c r="K142" i="2"/>
  <c r="J142" i="2"/>
  <c r="I142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O140" i="2"/>
  <c r="N140" i="2"/>
  <c r="M140" i="2"/>
  <c r="L140" i="2"/>
  <c r="K140" i="2"/>
  <c r="J140" i="2"/>
  <c r="I140" i="2"/>
  <c r="M139" i="2"/>
  <c r="L139" i="2"/>
  <c r="I139" i="2"/>
  <c r="O138" i="2"/>
  <c r="N138" i="2"/>
  <c r="M138" i="2"/>
  <c r="L138" i="2"/>
  <c r="K138" i="2"/>
  <c r="J138" i="2"/>
  <c r="I138" i="2"/>
  <c r="O136" i="2"/>
  <c r="N136" i="2"/>
  <c r="M136" i="2"/>
  <c r="L136" i="2"/>
  <c r="K136" i="2"/>
  <c r="J136" i="2"/>
  <c r="I136" i="2"/>
  <c r="O135" i="2"/>
  <c r="N135" i="2"/>
  <c r="M135" i="2"/>
  <c r="L135" i="2"/>
  <c r="K135" i="2"/>
  <c r="J135" i="2"/>
  <c r="I135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O133" i="2"/>
  <c r="N133" i="2"/>
  <c r="M133" i="2"/>
  <c r="L133" i="2"/>
  <c r="K133" i="2"/>
  <c r="J133" i="2"/>
  <c r="I133" i="2"/>
  <c r="O132" i="2"/>
  <c r="N132" i="2"/>
  <c r="M132" i="2"/>
  <c r="L132" i="2"/>
  <c r="K132" i="2"/>
  <c r="J132" i="2"/>
  <c r="I132" i="2"/>
  <c r="O131" i="2"/>
  <c r="N131" i="2"/>
  <c r="M131" i="2"/>
  <c r="L131" i="2"/>
  <c r="K131" i="2"/>
  <c r="J131" i="2"/>
  <c r="I131" i="2"/>
  <c r="O129" i="2"/>
  <c r="N129" i="2"/>
  <c r="M129" i="2"/>
  <c r="L129" i="2"/>
  <c r="K129" i="2"/>
  <c r="J129" i="2"/>
  <c r="I129" i="2"/>
  <c r="O128" i="2"/>
  <c r="N128" i="2"/>
  <c r="M128" i="2"/>
  <c r="L128" i="2"/>
  <c r="K128" i="2"/>
  <c r="J128" i="2"/>
  <c r="I128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O126" i="2"/>
  <c r="N126" i="2"/>
  <c r="M126" i="2"/>
  <c r="L126" i="2"/>
  <c r="K126" i="2"/>
  <c r="J126" i="2"/>
  <c r="I126" i="2"/>
  <c r="O125" i="2"/>
  <c r="N125" i="2"/>
  <c r="M125" i="2"/>
  <c r="L125" i="2"/>
  <c r="K125" i="2"/>
  <c r="J125" i="2"/>
  <c r="I125" i="2"/>
  <c r="O124" i="2"/>
  <c r="N124" i="2"/>
  <c r="M124" i="2"/>
  <c r="L124" i="2"/>
  <c r="K124" i="2"/>
  <c r="J124" i="2"/>
  <c r="I124" i="2"/>
  <c r="O122" i="2"/>
  <c r="N122" i="2"/>
  <c r="M122" i="2"/>
  <c r="L122" i="2"/>
  <c r="K122" i="2"/>
  <c r="J122" i="2"/>
  <c r="I122" i="2"/>
  <c r="O121" i="2"/>
  <c r="N121" i="2"/>
  <c r="M121" i="2"/>
  <c r="L121" i="2"/>
  <c r="K121" i="2"/>
  <c r="J121" i="2"/>
  <c r="I121" i="2"/>
  <c r="P120" i="2"/>
  <c r="O120" i="2"/>
  <c r="N120" i="2"/>
  <c r="M120" i="2"/>
  <c r="L120" i="2"/>
  <c r="K120" i="2"/>
  <c r="J120" i="2"/>
  <c r="I120" i="2"/>
  <c r="O119" i="2"/>
  <c r="N119" i="2"/>
  <c r="M119" i="2"/>
  <c r="L119" i="2"/>
  <c r="K119" i="2"/>
  <c r="J119" i="2"/>
  <c r="I119" i="2"/>
  <c r="O118" i="2"/>
  <c r="N118" i="2"/>
  <c r="M118" i="2"/>
  <c r="L118" i="2"/>
  <c r="K118" i="2"/>
  <c r="J118" i="2"/>
  <c r="I118" i="2"/>
  <c r="O117" i="2"/>
  <c r="N117" i="2"/>
  <c r="M117" i="2"/>
  <c r="L117" i="2"/>
  <c r="K117" i="2"/>
  <c r="J117" i="2"/>
  <c r="I117" i="2"/>
  <c r="O115" i="2"/>
  <c r="N115" i="2"/>
  <c r="M115" i="2"/>
  <c r="L115" i="2"/>
  <c r="K115" i="2"/>
  <c r="J115" i="2"/>
  <c r="I115" i="2"/>
  <c r="O114" i="2"/>
  <c r="N114" i="2"/>
  <c r="M114" i="2"/>
  <c r="L114" i="2"/>
  <c r="K114" i="2"/>
  <c r="J114" i="2"/>
  <c r="I114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O112" i="2"/>
  <c r="N112" i="2"/>
  <c r="M112" i="2"/>
  <c r="L112" i="2"/>
  <c r="K112" i="2"/>
  <c r="J112" i="2"/>
  <c r="I112" i="2"/>
  <c r="O111" i="2"/>
  <c r="N111" i="2"/>
  <c r="M111" i="2"/>
  <c r="L111" i="2"/>
  <c r="K111" i="2"/>
  <c r="J111" i="2"/>
  <c r="I111" i="2"/>
  <c r="O110" i="2"/>
  <c r="N110" i="2"/>
  <c r="M110" i="2"/>
  <c r="L110" i="2"/>
  <c r="K110" i="2"/>
  <c r="J110" i="2"/>
  <c r="I110" i="2"/>
  <c r="O108" i="2"/>
  <c r="N108" i="2"/>
  <c r="M108" i="2"/>
  <c r="L108" i="2"/>
  <c r="K108" i="2"/>
  <c r="J108" i="2"/>
  <c r="I108" i="2"/>
  <c r="O107" i="2"/>
  <c r="N107" i="2"/>
  <c r="M107" i="2"/>
  <c r="L107" i="2"/>
  <c r="K107" i="2"/>
  <c r="J107" i="2"/>
  <c r="I107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O105" i="2"/>
  <c r="N105" i="2"/>
  <c r="M105" i="2"/>
  <c r="L105" i="2"/>
  <c r="K105" i="2"/>
  <c r="J105" i="2"/>
  <c r="I105" i="2"/>
  <c r="O104" i="2"/>
  <c r="N104" i="2"/>
  <c r="M104" i="2"/>
  <c r="L104" i="2"/>
  <c r="K104" i="2"/>
  <c r="J104" i="2"/>
  <c r="I104" i="2"/>
  <c r="O103" i="2"/>
  <c r="N103" i="2"/>
  <c r="M103" i="2"/>
  <c r="L103" i="2"/>
  <c r="K103" i="2"/>
  <c r="J103" i="2"/>
  <c r="I103" i="2"/>
  <c r="M101" i="2"/>
  <c r="L101" i="2"/>
  <c r="K101" i="2"/>
  <c r="J101" i="2"/>
  <c r="I101" i="2"/>
  <c r="O100" i="2"/>
  <c r="N100" i="2"/>
  <c r="M100" i="2"/>
  <c r="L100" i="2"/>
  <c r="K100" i="2"/>
  <c r="J100" i="2"/>
  <c r="I100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O98" i="2"/>
  <c r="N98" i="2"/>
  <c r="M98" i="2"/>
  <c r="L98" i="2"/>
  <c r="K98" i="2"/>
  <c r="J98" i="2"/>
  <c r="I98" i="2"/>
  <c r="O97" i="2"/>
  <c r="N97" i="2"/>
  <c r="M97" i="2"/>
  <c r="L97" i="2"/>
  <c r="K97" i="2"/>
  <c r="J97" i="2"/>
  <c r="I97" i="2"/>
  <c r="O96" i="2"/>
  <c r="N96" i="2"/>
  <c r="M96" i="2"/>
  <c r="L96" i="2"/>
  <c r="K96" i="2"/>
  <c r="J96" i="2"/>
  <c r="I96" i="2"/>
  <c r="M94" i="2"/>
  <c r="L94" i="2"/>
  <c r="K94" i="2"/>
  <c r="I94" i="2"/>
  <c r="O93" i="2"/>
  <c r="N93" i="2"/>
  <c r="M93" i="2"/>
  <c r="L93" i="2"/>
  <c r="K93" i="2"/>
  <c r="J93" i="2"/>
  <c r="I93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O91" i="2"/>
  <c r="N91" i="2"/>
  <c r="M91" i="2"/>
  <c r="L91" i="2"/>
  <c r="K91" i="2"/>
  <c r="J91" i="2"/>
  <c r="I91" i="2"/>
  <c r="O90" i="2"/>
  <c r="N90" i="2"/>
  <c r="M90" i="2"/>
  <c r="L90" i="2"/>
  <c r="K90" i="2"/>
  <c r="J90" i="2"/>
  <c r="I90" i="2"/>
  <c r="O89" i="2"/>
  <c r="N89" i="2"/>
  <c r="M89" i="2"/>
  <c r="L89" i="2"/>
  <c r="K89" i="2"/>
  <c r="J89" i="2"/>
  <c r="I89" i="2"/>
  <c r="O87" i="2"/>
  <c r="N87" i="2"/>
  <c r="M87" i="2"/>
  <c r="L87" i="2"/>
  <c r="K87" i="2"/>
  <c r="J87" i="2"/>
  <c r="I87" i="2"/>
  <c r="O86" i="2"/>
  <c r="N86" i="2"/>
  <c r="M86" i="2"/>
  <c r="L86" i="2"/>
  <c r="K86" i="2"/>
  <c r="J86" i="2"/>
  <c r="I86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O84" i="2"/>
  <c r="N84" i="2"/>
  <c r="M84" i="2"/>
  <c r="L84" i="2"/>
  <c r="K84" i="2"/>
  <c r="J84" i="2"/>
  <c r="I84" i="2"/>
  <c r="O83" i="2"/>
  <c r="N83" i="2"/>
  <c r="M83" i="2"/>
  <c r="L83" i="2"/>
  <c r="K83" i="2"/>
  <c r="J83" i="2"/>
  <c r="I83" i="2"/>
  <c r="O82" i="2"/>
  <c r="N82" i="2"/>
  <c r="M82" i="2"/>
  <c r="L82" i="2"/>
  <c r="K82" i="2"/>
  <c r="J82" i="2"/>
  <c r="I82" i="2"/>
  <c r="O80" i="2"/>
  <c r="N80" i="2"/>
  <c r="M80" i="2"/>
  <c r="L80" i="2"/>
  <c r="K80" i="2"/>
  <c r="J80" i="2"/>
  <c r="I80" i="2"/>
  <c r="O79" i="2"/>
  <c r="N79" i="2"/>
  <c r="M79" i="2"/>
  <c r="L79" i="2"/>
  <c r="K79" i="2"/>
  <c r="J79" i="2"/>
  <c r="I79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O77" i="2"/>
  <c r="N77" i="2"/>
  <c r="M77" i="2"/>
  <c r="L77" i="2"/>
  <c r="K77" i="2"/>
  <c r="J77" i="2"/>
  <c r="I77" i="2"/>
  <c r="I76" i="2"/>
  <c r="O75" i="2"/>
  <c r="N75" i="2"/>
  <c r="M75" i="2"/>
  <c r="L75" i="2"/>
  <c r="K75" i="2"/>
  <c r="J75" i="2"/>
  <c r="I75" i="2"/>
  <c r="O73" i="2"/>
  <c r="N73" i="2"/>
  <c r="M73" i="2"/>
  <c r="L73" i="2"/>
  <c r="K73" i="2"/>
  <c r="J73" i="2"/>
  <c r="I73" i="2"/>
  <c r="O72" i="2"/>
  <c r="N72" i="2"/>
  <c r="M72" i="2"/>
  <c r="L72" i="2"/>
  <c r="K72" i="2"/>
  <c r="J72" i="2"/>
  <c r="I72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O70" i="2"/>
  <c r="N70" i="2"/>
  <c r="M70" i="2"/>
  <c r="L70" i="2"/>
  <c r="K70" i="2"/>
  <c r="J70" i="2"/>
  <c r="I70" i="2"/>
  <c r="O69" i="2"/>
  <c r="N69" i="2"/>
  <c r="M69" i="2"/>
  <c r="L69" i="2"/>
  <c r="K69" i="2"/>
  <c r="J69" i="2"/>
  <c r="I69" i="2"/>
  <c r="O68" i="2"/>
  <c r="N68" i="2"/>
  <c r="M68" i="2"/>
  <c r="L68" i="2"/>
  <c r="K68" i="2"/>
  <c r="J68" i="2"/>
  <c r="I68" i="2"/>
  <c r="O66" i="2"/>
  <c r="N66" i="2"/>
  <c r="M66" i="2"/>
  <c r="L66" i="2"/>
  <c r="K66" i="2"/>
  <c r="J66" i="2"/>
  <c r="I66" i="2"/>
  <c r="O65" i="2"/>
  <c r="N65" i="2"/>
  <c r="M65" i="2"/>
  <c r="L65" i="2"/>
  <c r="K65" i="2"/>
  <c r="J65" i="2"/>
  <c r="I65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O63" i="2"/>
  <c r="N63" i="2"/>
  <c r="M63" i="2"/>
  <c r="L63" i="2"/>
  <c r="K63" i="2"/>
  <c r="J63" i="2"/>
  <c r="I63" i="2"/>
  <c r="O62" i="2"/>
  <c r="N62" i="2"/>
  <c r="M62" i="2"/>
  <c r="L62" i="2"/>
  <c r="K62" i="2"/>
  <c r="J62" i="2"/>
  <c r="I62" i="2"/>
  <c r="O61" i="2"/>
  <c r="N61" i="2"/>
  <c r="M61" i="2"/>
  <c r="L61" i="2"/>
  <c r="K61" i="2"/>
  <c r="J61" i="2"/>
  <c r="I61" i="2"/>
  <c r="M59" i="2"/>
  <c r="L59" i="2"/>
  <c r="I59" i="2"/>
  <c r="O58" i="2"/>
  <c r="N58" i="2"/>
  <c r="M58" i="2"/>
  <c r="L58" i="2"/>
  <c r="K58" i="2"/>
  <c r="J58" i="2"/>
  <c r="I58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O56" i="2"/>
  <c r="N56" i="2"/>
  <c r="M56" i="2"/>
  <c r="L56" i="2"/>
  <c r="K56" i="2"/>
  <c r="J56" i="2"/>
  <c r="I56" i="2"/>
  <c r="N55" i="2"/>
  <c r="M55" i="2"/>
  <c r="L55" i="2"/>
  <c r="K55" i="2"/>
  <c r="J55" i="2"/>
  <c r="I55" i="2"/>
  <c r="O54" i="2"/>
  <c r="N54" i="2"/>
  <c r="M54" i="2"/>
  <c r="L54" i="2"/>
  <c r="K54" i="2"/>
  <c r="J54" i="2"/>
  <c r="I54" i="2"/>
  <c r="O52" i="2"/>
  <c r="O51" i="2"/>
  <c r="L50" i="2"/>
  <c r="J50" i="2"/>
  <c r="I50" i="2"/>
  <c r="O49" i="2"/>
  <c r="N49" i="2"/>
  <c r="M49" i="2"/>
  <c r="L49" i="2"/>
  <c r="K49" i="2"/>
  <c r="J49" i="2"/>
  <c r="I49" i="2"/>
  <c r="L48" i="2"/>
  <c r="J48" i="2"/>
  <c r="I48" i="2"/>
  <c r="L47" i="2"/>
  <c r="J47" i="2"/>
  <c r="I47" i="2"/>
  <c r="O45" i="2"/>
  <c r="N45" i="2"/>
  <c r="M45" i="2"/>
  <c r="L45" i="2"/>
  <c r="K45" i="2"/>
  <c r="J45" i="2"/>
  <c r="I45" i="2"/>
  <c r="O44" i="2"/>
  <c r="N44" i="2"/>
  <c r="M44" i="2"/>
  <c r="L44" i="2"/>
  <c r="K44" i="2"/>
  <c r="J44" i="2"/>
  <c r="I44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O42" i="2"/>
  <c r="N42" i="2"/>
  <c r="M42" i="2"/>
  <c r="L42" i="2"/>
  <c r="K42" i="2"/>
  <c r="J42" i="2"/>
  <c r="I42" i="2"/>
  <c r="O41" i="2"/>
  <c r="N41" i="2"/>
  <c r="M41" i="2"/>
  <c r="L41" i="2"/>
  <c r="K41" i="2"/>
  <c r="J41" i="2"/>
  <c r="I41" i="2"/>
  <c r="O40" i="2"/>
  <c r="N40" i="2"/>
  <c r="M40" i="2"/>
  <c r="L40" i="2"/>
  <c r="K40" i="2"/>
  <c r="J40" i="2"/>
  <c r="I40" i="2"/>
  <c r="I38" i="2"/>
  <c r="O37" i="2"/>
  <c r="N37" i="2"/>
  <c r="M37" i="2"/>
  <c r="L37" i="2"/>
  <c r="K37" i="2"/>
  <c r="J37" i="2"/>
  <c r="I37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O35" i="2"/>
  <c r="N35" i="2"/>
  <c r="M35" i="2"/>
  <c r="L35" i="2"/>
  <c r="K35" i="2"/>
  <c r="J35" i="2"/>
  <c r="I35" i="2"/>
  <c r="I34" i="2"/>
  <c r="O33" i="2"/>
  <c r="N33" i="2"/>
  <c r="M33" i="2"/>
  <c r="L33" i="2"/>
  <c r="K33" i="2"/>
  <c r="J33" i="2"/>
  <c r="I33" i="2"/>
  <c r="O31" i="2"/>
  <c r="N31" i="2"/>
  <c r="M31" i="2"/>
  <c r="L31" i="2"/>
  <c r="K31" i="2"/>
  <c r="J31" i="2"/>
  <c r="I31" i="2"/>
  <c r="O30" i="2"/>
  <c r="N30" i="2"/>
  <c r="M30" i="2"/>
  <c r="L30" i="2"/>
  <c r="K30" i="2"/>
  <c r="J30" i="2"/>
  <c r="I30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O28" i="2"/>
  <c r="N28" i="2"/>
  <c r="M28" i="2"/>
  <c r="L28" i="2"/>
  <c r="K28" i="2"/>
  <c r="J28" i="2"/>
  <c r="I28" i="2"/>
  <c r="O27" i="2"/>
  <c r="N27" i="2"/>
  <c r="M27" i="2"/>
  <c r="L27" i="2"/>
  <c r="K27" i="2"/>
  <c r="J27" i="2"/>
  <c r="I27" i="2"/>
  <c r="O26" i="2"/>
  <c r="N26" i="2"/>
  <c r="M26" i="2"/>
  <c r="L26" i="2"/>
  <c r="K26" i="2"/>
  <c r="J26" i="2"/>
  <c r="I26" i="2"/>
  <c r="O24" i="2"/>
  <c r="N24" i="2"/>
  <c r="M24" i="2"/>
  <c r="L24" i="2"/>
  <c r="K24" i="2"/>
  <c r="J24" i="2"/>
  <c r="I24" i="2"/>
  <c r="O23" i="2"/>
  <c r="N23" i="2"/>
  <c r="M23" i="2"/>
  <c r="L23" i="2"/>
  <c r="K23" i="2"/>
  <c r="J23" i="2"/>
  <c r="I23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O21" i="2"/>
  <c r="N21" i="2"/>
  <c r="M21" i="2"/>
  <c r="L21" i="2"/>
  <c r="K21" i="2"/>
  <c r="J21" i="2"/>
  <c r="I21" i="2"/>
  <c r="O20" i="2"/>
  <c r="N20" i="2"/>
  <c r="M20" i="2"/>
  <c r="L20" i="2"/>
  <c r="K20" i="2"/>
  <c r="J20" i="2"/>
  <c r="I20" i="2"/>
  <c r="O19" i="2"/>
  <c r="N19" i="2"/>
  <c r="M19" i="2"/>
  <c r="L19" i="2"/>
  <c r="K19" i="2"/>
  <c r="J19" i="2"/>
  <c r="I19" i="2"/>
  <c r="M17" i="2"/>
  <c r="L17" i="2"/>
  <c r="K17" i="2"/>
  <c r="J17" i="2"/>
  <c r="I17" i="2"/>
  <c r="M16" i="2"/>
  <c r="L16" i="2"/>
  <c r="K16" i="2"/>
  <c r="J16" i="2"/>
  <c r="I16" i="2"/>
  <c r="M15" i="2"/>
  <c r="L15" i="2"/>
  <c r="O14" i="2"/>
  <c r="N14" i="2"/>
  <c r="M14" i="2"/>
  <c r="L14" i="2"/>
  <c r="K14" i="2"/>
  <c r="J14" i="2"/>
  <c r="I14" i="2"/>
  <c r="M13" i="2"/>
  <c r="L13" i="2"/>
  <c r="I13" i="2"/>
  <c r="M12" i="2"/>
  <c r="L12" i="2"/>
  <c r="O10" i="2"/>
  <c r="O7" i="3" s="1"/>
  <c r="N10" i="2"/>
  <c r="N7" i="3" s="1"/>
  <c r="M10" i="2"/>
  <c r="M7" i="3" s="1"/>
  <c r="L10" i="2"/>
  <c r="L7" i="3" s="1"/>
  <c r="K10" i="2"/>
  <c r="K7" i="3" s="1"/>
  <c r="J10" i="2"/>
  <c r="J7" i="3" s="1"/>
  <c r="I10" i="2"/>
  <c r="I7" i="3" s="1"/>
  <c r="O9" i="2"/>
  <c r="O6" i="3" s="1"/>
  <c r="N9" i="2"/>
  <c r="N6" i="3" s="1"/>
  <c r="M9" i="2"/>
  <c r="M6" i="3" s="1"/>
  <c r="L9" i="2"/>
  <c r="L6" i="3" s="1"/>
  <c r="K9" i="2"/>
  <c r="K6" i="3" s="1"/>
  <c r="J9" i="2"/>
  <c r="J6" i="3" s="1"/>
  <c r="I9" i="2"/>
  <c r="I6" i="3" s="1"/>
  <c r="U8" i="2"/>
  <c r="T8" i="2"/>
  <c r="S8" i="2"/>
  <c r="R8" i="2"/>
  <c r="Q8" i="2"/>
  <c r="P8" i="2"/>
  <c r="O8" i="2"/>
  <c r="N8" i="2"/>
  <c r="M8" i="2"/>
  <c r="L8" i="2"/>
  <c r="K8" i="2"/>
  <c r="J8" i="2"/>
  <c r="I8" i="2"/>
  <c r="O7" i="2"/>
  <c r="O5" i="3" s="1"/>
  <c r="N7" i="2"/>
  <c r="N5" i="3" s="1"/>
  <c r="M7" i="2"/>
  <c r="M5" i="3" s="1"/>
  <c r="L7" i="2"/>
  <c r="L5" i="3" s="1"/>
  <c r="K7" i="2"/>
  <c r="K5" i="3" s="1"/>
  <c r="J7" i="2"/>
  <c r="J5" i="3" s="1"/>
  <c r="I7" i="2"/>
  <c r="I5" i="3" s="1"/>
  <c r="O6" i="2"/>
  <c r="N6" i="2"/>
  <c r="M6" i="2"/>
  <c r="L6" i="2"/>
  <c r="K6" i="2"/>
  <c r="J6" i="2"/>
  <c r="I6" i="2"/>
  <c r="O5" i="2"/>
  <c r="N5" i="2"/>
  <c r="M5" i="2"/>
  <c r="L5" i="2"/>
  <c r="K5" i="2"/>
  <c r="J5" i="2"/>
  <c r="I5" i="2"/>
  <c r="L3" i="2"/>
  <c r="K3" i="2"/>
  <c r="J3" i="2" s="1"/>
  <c r="I3" i="2" s="1"/>
  <c r="H3" i="2" s="1"/>
  <c r="G3" i="2" s="1"/>
  <c r="F3" i="2" s="1"/>
  <c r="E3" i="2" s="1"/>
  <c r="D3" i="2" s="1"/>
  <c r="O31" i="1"/>
  <c r="N31" i="1"/>
  <c r="M31" i="1"/>
  <c r="L31" i="1"/>
  <c r="K31" i="1"/>
  <c r="J31" i="1"/>
  <c r="I31" i="1"/>
  <c r="H31" i="1"/>
  <c r="G31" i="1"/>
  <c r="F31" i="1"/>
  <c r="E31" i="1"/>
  <c r="D31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O28" i="1"/>
  <c r="N28" i="1"/>
  <c r="M28" i="1"/>
  <c r="L28" i="1"/>
  <c r="K28" i="1"/>
  <c r="J28" i="1"/>
  <c r="I28" i="1"/>
  <c r="H28" i="1"/>
  <c r="G28" i="1"/>
  <c r="F28" i="1"/>
  <c r="E28" i="1"/>
  <c r="D28" i="1"/>
  <c r="H27" i="1"/>
  <c r="G27" i="1"/>
  <c r="F27" i="1"/>
  <c r="E27" i="1"/>
  <c r="D27" i="1"/>
  <c r="H26" i="1"/>
  <c r="G26" i="1"/>
  <c r="F26" i="1"/>
  <c r="E26" i="1"/>
  <c r="D26" i="1"/>
  <c r="H25" i="1"/>
  <c r="G25" i="1"/>
  <c r="F25" i="1"/>
  <c r="E25" i="1"/>
  <c r="D25" i="1"/>
  <c r="H24" i="1"/>
  <c r="G24" i="1"/>
  <c r="F24" i="1"/>
  <c r="E24" i="1"/>
  <c r="D24" i="1"/>
  <c r="H23" i="1"/>
  <c r="G23" i="1"/>
  <c r="F23" i="1"/>
  <c r="E23" i="1"/>
  <c r="D23" i="1"/>
  <c r="H22" i="1"/>
  <c r="G22" i="1"/>
  <c r="F22" i="1"/>
  <c r="E22" i="1"/>
  <c r="H20" i="1"/>
  <c r="G20" i="1"/>
  <c r="G21" i="1" s="1"/>
  <c r="F20" i="1"/>
  <c r="F21" i="1" s="1"/>
  <c r="E20" i="1"/>
  <c r="E21" i="1" s="1"/>
  <c r="D20" i="1"/>
  <c r="D21" i="1" s="1"/>
  <c r="M18" i="1"/>
  <c r="L18" i="1"/>
  <c r="K18" i="1"/>
  <c r="J18" i="1"/>
  <c r="I18" i="1"/>
  <c r="U17" i="1"/>
  <c r="M17" i="1"/>
  <c r="L17" i="1"/>
  <c r="K17" i="1"/>
  <c r="J17" i="1"/>
  <c r="I17" i="1"/>
  <c r="N11" i="1"/>
  <c r="M11" i="1"/>
  <c r="L11" i="1"/>
  <c r="K11" i="1"/>
  <c r="J11" i="1"/>
  <c r="I11" i="1"/>
  <c r="O9" i="1"/>
  <c r="N9" i="1"/>
  <c r="M9" i="1"/>
  <c r="L9" i="1"/>
  <c r="K9" i="1"/>
  <c r="J9" i="1"/>
  <c r="I9" i="1"/>
  <c r="O8" i="1"/>
  <c r="N8" i="1"/>
  <c r="M8" i="1"/>
  <c r="L8" i="1"/>
  <c r="K8" i="1"/>
  <c r="J8" i="1"/>
  <c r="I8" i="1"/>
  <c r="O7" i="1"/>
  <c r="N7" i="1"/>
  <c r="M7" i="1"/>
  <c r="L7" i="1"/>
  <c r="K7" i="1"/>
  <c r="J7" i="1"/>
  <c r="I7" i="1"/>
  <c r="L6" i="1"/>
  <c r="K6" i="1"/>
  <c r="J6" i="1"/>
  <c r="I6" i="1"/>
  <c r="L5" i="1"/>
  <c r="K5" i="1"/>
  <c r="J5" i="1"/>
  <c r="I5" i="1"/>
  <c r="N4" i="1"/>
  <c r="M4" i="1"/>
  <c r="L4" i="1"/>
  <c r="K4" i="1"/>
  <c r="J4" i="1"/>
  <c r="I4" i="1"/>
  <c r="L3" i="1"/>
  <c r="K3" i="1"/>
  <c r="J3" i="1" s="1"/>
  <c r="I3" i="1" s="1"/>
  <c r="H3" i="1" s="1"/>
  <c r="G3" i="1" s="1"/>
  <c r="F3" i="1" s="1"/>
  <c r="E3" i="1" s="1"/>
  <c r="D3" i="1" s="1"/>
  <c r="D18" i="18" s="1"/>
  <c r="E18" i="18" s="1"/>
  <c r="H3" i="4" l="1"/>
  <c r="I9" i="4"/>
  <c r="I29" i="4" s="1"/>
  <c r="J9" i="4"/>
  <c r="J29" i="4" s="1"/>
  <c r="H21" i="1"/>
  <c r="J22" i="1"/>
  <c r="J28" i="3"/>
  <c r="I22" i="1"/>
  <c r="M10" i="1"/>
  <c r="K8" i="3"/>
  <c r="L8" i="3"/>
  <c r="L4" i="3"/>
  <c r="L40" i="3"/>
  <c r="J10" i="1"/>
  <c r="L16" i="3"/>
  <c r="K10" i="1"/>
  <c r="J36" i="3"/>
  <c r="L10" i="1"/>
  <c r="L24" i="3"/>
  <c r="M16" i="3"/>
  <c r="M40" i="3"/>
  <c r="M20" i="1"/>
  <c r="M21" i="1" s="1"/>
  <c r="N10" i="1"/>
  <c r="M28" i="3"/>
  <c r="L22" i="1"/>
  <c r="K22" i="1"/>
  <c r="K4" i="3"/>
  <c r="M4" i="3"/>
  <c r="M48" i="3"/>
  <c r="K20" i="1"/>
  <c r="K21" i="1" s="1"/>
  <c r="M14" i="1"/>
  <c r="L20" i="1"/>
  <c r="L21" i="1" s="1"/>
  <c r="I32" i="3"/>
  <c r="M23" i="4"/>
  <c r="K32" i="3"/>
  <c r="L32" i="3"/>
  <c r="M8" i="3"/>
  <c r="M24" i="3"/>
  <c r="I20" i="3"/>
  <c r="L14" i="1"/>
  <c r="J12" i="3"/>
  <c r="I28" i="3"/>
  <c r="K20" i="3"/>
  <c r="K15" i="4"/>
  <c r="L20" i="3"/>
  <c r="I10" i="1"/>
  <c r="M44" i="3"/>
  <c r="M32" i="3"/>
  <c r="N23" i="4"/>
  <c r="K23" i="4"/>
  <c r="L23" i="4"/>
  <c r="I12" i="3"/>
  <c r="L48" i="3"/>
  <c r="L15" i="4"/>
  <c r="J20" i="1"/>
  <c r="J21" i="1" s="1"/>
  <c r="N4" i="3"/>
  <c r="M20" i="3"/>
  <c r="J44" i="3"/>
  <c r="N15" i="4"/>
  <c r="I36" i="3"/>
  <c r="I44" i="3"/>
  <c r="M15" i="4"/>
  <c r="N20" i="3"/>
  <c r="K44" i="3"/>
  <c r="L28" i="3"/>
  <c r="L44" i="3"/>
  <c r="K40" i="3"/>
  <c r="I4" i="3"/>
  <c r="I40" i="3"/>
  <c r="I20" i="1"/>
  <c r="I21" i="1" s="1"/>
  <c r="J4" i="3"/>
  <c r="I16" i="3"/>
  <c r="J40" i="3"/>
  <c r="K16" i="3"/>
  <c r="K28" i="3"/>
  <c r="J24" i="3"/>
  <c r="K24" i="3"/>
  <c r="K12" i="3"/>
  <c r="L36" i="3"/>
  <c r="J48" i="3"/>
  <c r="J32" i="3"/>
  <c r="L12" i="3"/>
  <c r="M36" i="3"/>
  <c r="N44" i="3"/>
  <c r="J14" i="1"/>
  <c r="I8" i="3"/>
  <c r="M12" i="3"/>
  <c r="N36" i="3"/>
  <c r="I24" i="3"/>
  <c r="K36" i="3"/>
  <c r="I48" i="3"/>
  <c r="I14" i="1"/>
  <c r="J20" i="3"/>
  <c r="K48" i="3"/>
  <c r="K14" i="1"/>
  <c r="J8" i="3"/>
  <c r="N14" i="1"/>
  <c r="N8" i="3"/>
  <c r="N48" i="3"/>
  <c r="N40" i="3"/>
  <c r="N16" i="3"/>
  <c r="N32" i="3"/>
  <c r="N24" i="3"/>
  <c r="N12" i="3"/>
  <c r="J16" i="3"/>
  <c r="N28" i="3"/>
  <c r="G3" i="4" l="1"/>
  <c r="H53" i="4"/>
  <c r="H9" i="4"/>
  <c r="H29" i="4" s="1"/>
  <c r="N17" i="1"/>
  <c r="F3" i="4" l="1"/>
  <c r="G53" i="4"/>
  <c r="G9" i="4"/>
  <c r="G29" i="4" s="1"/>
  <c r="N18" i="1"/>
  <c r="O17" i="1"/>
  <c r="O30" i="4"/>
  <c r="O23" i="1" s="1"/>
  <c r="F9" i="4" l="1"/>
  <c r="F29" i="4" s="1"/>
  <c r="E3" i="4"/>
  <c r="F53" i="4"/>
  <c r="N20" i="1"/>
  <c r="N21" i="1" s="1"/>
  <c r="O18" i="1"/>
  <c r="N30" i="4"/>
  <c r="N23" i="1" s="1"/>
  <c r="E9" i="4" l="1"/>
  <c r="E29" i="4" s="1"/>
  <c r="D3" i="4"/>
  <c r="E53" i="4"/>
  <c r="O43" i="4"/>
  <c r="D9" i="4" l="1"/>
  <c r="D29" i="4" s="1"/>
  <c r="D53" i="4"/>
  <c r="O44" i="4"/>
  <c r="O48" i="4"/>
  <c r="O49" i="4" l="1"/>
  <c r="O22" i="4" l="1"/>
  <c r="O13" i="4" l="1"/>
  <c r="S97" i="14" l="1"/>
  <c r="T97" i="14"/>
  <c r="R97" i="14"/>
  <c r="P97" i="14"/>
  <c r="Q97" i="14"/>
  <c r="Q36" i="14"/>
  <c r="P36" i="14"/>
  <c r="U36" i="14" l="1"/>
  <c r="O36" i="14"/>
  <c r="O37" i="14"/>
  <c r="Q35" i="14"/>
  <c r="P35" i="14"/>
  <c r="O35" i="14" l="1"/>
  <c r="U37" i="14"/>
  <c r="Q37" i="14"/>
  <c r="P37" i="14" l="1"/>
  <c r="I178" i="2" l="1"/>
  <c r="J178" i="2"/>
  <c r="K178" i="2"/>
  <c r="L178" i="2"/>
  <c r="M178" i="2"/>
  <c r="N178" i="2"/>
  <c r="O178" i="2"/>
  <c r="N139" i="2"/>
  <c r="O139" i="2"/>
  <c r="J143" i="2"/>
  <c r="K143" i="2"/>
  <c r="M143" i="2"/>
  <c r="N143" i="2"/>
  <c r="J139" i="2"/>
  <c r="O143" i="2"/>
  <c r="K139" i="2"/>
  <c r="N101" i="2"/>
  <c r="O101" i="2"/>
  <c r="N94" i="2"/>
  <c r="O94" i="2"/>
  <c r="J94" i="2"/>
  <c r="O59" i="2"/>
  <c r="K59" i="2"/>
  <c r="N59" i="2"/>
  <c r="J59" i="2"/>
  <c r="O55" i="2"/>
  <c r="K48" i="2"/>
  <c r="O47" i="2"/>
  <c r="O76" i="2"/>
  <c r="L52" i="2"/>
  <c r="J51" i="2"/>
  <c r="L51" i="2"/>
  <c r="L76" i="2"/>
  <c r="N76" i="2"/>
  <c r="I51" i="2"/>
  <c r="K47" i="2"/>
  <c r="J76" i="2"/>
  <c r="K51" i="2"/>
  <c r="K76" i="2"/>
  <c r="M47" i="2"/>
  <c r="N47" i="2"/>
  <c r="M51" i="2"/>
  <c r="M76" i="2"/>
  <c r="N51" i="2"/>
  <c r="O11" i="1"/>
  <c r="I15" i="2"/>
  <c r="K15" i="2"/>
  <c r="N13" i="2"/>
  <c r="J15" i="2"/>
  <c r="J12" i="1"/>
  <c r="N34" i="2"/>
  <c r="O12" i="2"/>
  <c r="N38" i="2"/>
  <c r="O38" i="2"/>
  <c r="O15" i="2"/>
  <c r="L34" i="2"/>
  <c r="N12" i="1"/>
  <c r="J38" i="2"/>
  <c r="N15" i="2"/>
  <c r="L12" i="1"/>
  <c r="M12" i="1"/>
  <c r="M34" i="2"/>
  <c r="O34" i="2"/>
  <c r="I12" i="2"/>
  <c r="J12" i="2"/>
  <c r="K12" i="2"/>
  <c r="K38" i="2"/>
  <c r="L38" i="2"/>
  <c r="N12" i="2"/>
  <c r="K34" i="2"/>
  <c r="O12" i="1"/>
  <c r="M38" i="2"/>
  <c r="J34" i="2"/>
  <c r="J13" i="1" l="1"/>
  <c r="J52" i="2"/>
  <c r="K18" i="3"/>
  <c r="M48" i="2"/>
  <c r="N50" i="2"/>
  <c r="I18" i="3"/>
  <c r="K13" i="1"/>
  <c r="M50" i="2"/>
  <c r="K10" i="3"/>
  <c r="N52" i="2"/>
  <c r="I10" i="3"/>
  <c r="M10" i="3"/>
  <c r="O50" i="2"/>
  <c r="N48" i="2"/>
  <c r="J10" i="3"/>
  <c r="K50" i="2"/>
  <c r="M52" i="2"/>
  <c r="K12" i="1"/>
  <c r="K19" i="3"/>
  <c r="K52" i="2"/>
  <c r="J18" i="3"/>
  <c r="L10" i="3"/>
  <c r="O48" i="2"/>
  <c r="I52" i="2"/>
  <c r="N5" i="1"/>
  <c r="N22" i="1" s="1"/>
  <c r="N13" i="1"/>
  <c r="K13" i="2"/>
  <c r="M13" i="1"/>
  <c r="O13" i="2"/>
  <c r="M5" i="1"/>
  <c r="M22" i="1" s="1"/>
  <c r="O13" i="1"/>
  <c r="I12" i="1"/>
  <c r="O5" i="1"/>
  <c r="O22" i="1" s="1"/>
  <c r="J13" i="2"/>
  <c r="O4" i="1"/>
  <c r="O14" i="1" s="1"/>
  <c r="L13" i="1"/>
  <c r="K11" i="3" l="1"/>
  <c r="I19" i="3"/>
  <c r="L11" i="3"/>
  <c r="I11" i="3"/>
  <c r="J11" i="3"/>
  <c r="M11" i="3"/>
  <c r="J19" i="3"/>
  <c r="M6" i="1"/>
  <c r="O48" i="3"/>
  <c r="O36" i="3"/>
  <c r="O8" i="3"/>
  <c r="O20" i="3"/>
  <c r="O24" i="3"/>
  <c r="O44" i="3"/>
  <c r="O10" i="1"/>
  <c r="O16" i="3"/>
  <c r="O32" i="3"/>
  <c r="O40" i="3"/>
  <c r="O4" i="3"/>
  <c r="O28" i="3"/>
  <c r="O12" i="3"/>
  <c r="O20" i="1"/>
  <c r="O21" i="1" s="1"/>
  <c r="O6" i="1"/>
  <c r="N6" i="1"/>
  <c r="I13" i="1"/>
  <c r="P42" i="3" l="1"/>
  <c r="P268" i="2"/>
  <c r="Q42" i="3"/>
  <c r="Q268" i="2"/>
  <c r="R42" i="3"/>
  <c r="R268" i="2"/>
  <c r="S42" i="3"/>
  <c r="S268" i="2"/>
  <c r="T42" i="3"/>
  <c r="T268" i="2"/>
  <c r="U42" i="3"/>
  <c r="U268" i="2"/>
  <c r="P266" i="2" l="1"/>
  <c r="P41" i="3"/>
  <c r="P264" i="2" l="1"/>
  <c r="Q266" i="2"/>
  <c r="Q41" i="3"/>
  <c r="Q264" i="2" l="1"/>
  <c r="R266" i="2"/>
  <c r="R41" i="3"/>
  <c r="P265" i="2"/>
  <c r="Q265" i="2" l="1"/>
  <c r="R264" i="2"/>
  <c r="S266" i="2"/>
  <c r="S41" i="3"/>
  <c r="R265" i="2" l="1"/>
  <c r="S264" i="2"/>
  <c r="T41" i="3"/>
  <c r="T266" i="2"/>
  <c r="S265" i="2" l="1"/>
  <c r="T264" i="2"/>
  <c r="U41" i="3"/>
  <c r="U266" i="2"/>
  <c r="U264" i="2" l="1"/>
  <c r="T265" i="2"/>
  <c r="U265" i="2" l="1"/>
  <c r="M44" i="4" l="1"/>
  <c r="N44" i="4"/>
  <c r="P17" i="1"/>
  <c r="S17" i="1"/>
  <c r="T17" i="1"/>
  <c r="P18" i="1" l="1"/>
  <c r="Q17" i="1"/>
  <c r="U18" i="1"/>
  <c r="T18" i="1"/>
  <c r="R17" i="1"/>
  <c r="S18" i="1" l="1"/>
  <c r="R18" i="1"/>
  <c r="Q18" i="1"/>
  <c r="P43" i="4" l="1"/>
  <c r="Q43" i="4" l="1"/>
  <c r="R43" i="4"/>
  <c r="U43" i="4" l="1"/>
  <c r="R44" i="4"/>
  <c r="Q44" i="4"/>
  <c r="S43" i="4" l="1"/>
  <c r="S44" i="4" l="1"/>
  <c r="T43" i="4"/>
  <c r="U44" i="4" l="1"/>
  <c r="T44" i="4"/>
  <c r="P44" i="4" l="1"/>
  <c r="O28" i="18" l="1"/>
  <c r="L28" i="18" l="1"/>
  <c r="M28" i="18"/>
  <c r="I28" i="18"/>
  <c r="N28" i="18"/>
  <c r="J28" i="18"/>
  <c r="K28" i="18"/>
  <c r="J29" i="18" l="1"/>
  <c r="K29" i="18"/>
  <c r="J35" i="18" l="1"/>
  <c r="L29" i="18" l="1"/>
  <c r="K35" i="18"/>
  <c r="L35" i="18" l="1"/>
  <c r="M29" i="18" l="1"/>
  <c r="I29" i="18"/>
  <c r="M35" i="18" l="1"/>
  <c r="I35" i="18"/>
  <c r="T31" i="14" l="1"/>
  <c r="T30" i="14"/>
  <c r="T29" i="14"/>
  <c r="T28" i="14"/>
  <c r="T27" i="14"/>
  <c r="T26" i="14"/>
  <c r="T25" i="14"/>
  <c r="T24" i="14"/>
  <c r="T23" i="14"/>
  <c r="T22" i="14"/>
  <c r="T21" i="14"/>
  <c r="T20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T6" i="14"/>
  <c r="S31" i="14" l="1"/>
  <c r="S30" i="14"/>
  <c r="S29" i="14"/>
  <c r="S28" i="14"/>
  <c r="S27" i="14"/>
  <c r="S26" i="14"/>
  <c r="S25" i="14"/>
  <c r="S24" i="14"/>
  <c r="S23" i="14"/>
  <c r="S22" i="14"/>
  <c r="S21" i="14"/>
  <c r="S20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Q21" i="14" l="1"/>
  <c r="P21" i="14"/>
  <c r="R31" i="14" l="1"/>
  <c r="R30" i="14"/>
  <c r="R29" i="14"/>
  <c r="R28" i="14"/>
  <c r="R27" i="14"/>
  <c r="R26" i="14"/>
  <c r="R25" i="14"/>
  <c r="R24" i="14"/>
  <c r="R23" i="14"/>
  <c r="R22" i="14"/>
  <c r="R21" i="14"/>
  <c r="R20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Q31" i="14" l="1"/>
  <c r="Q30" i="14"/>
  <c r="Q29" i="14"/>
  <c r="Q28" i="14"/>
  <c r="Q27" i="14"/>
  <c r="Q26" i="14"/>
  <c r="Q25" i="14"/>
  <c r="Q24" i="14"/>
  <c r="Q23" i="14"/>
  <c r="Q22" i="14"/>
  <c r="Q20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P31" i="14" l="1"/>
  <c r="P30" i="14"/>
  <c r="P29" i="14"/>
  <c r="P28" i="14"/>
  <c r="P27" i="14"/>
  <c r="P26" i="14"/>
  <c r="P25" i="14"/>
  <c r="P24" i="14"/>
  <c r="P23" i="14"/>
  <c r="P22" i="14"/>
  <c r="P20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Q120" i="2" l="1"/>
  <c r="R120" i="2"/>
  <c r="S120" i="2" l="1"/>
  <c r="T120" i="2" l="1"/>
  <c r="U120" i="2" l="1"/>
  <c r="O27" i="18" l="1"/>
  <c r="N10" i="18"/>
  <c r="N25" i="18"/>
  <c r="O25" i="18" l="1"/>
  <c r="O10" i="18" l="1"/>
  <c r="N23" i="18"/>
  <c r="O23" i="18" l="1"/>
  <c r="N19" i="18"/>
  <c r="O19" i="18" l="1"/>
  <c r="N29" i="18" l="1"/>
  <c r="O29" i="18" l="1"/>
  <c r="N35" i="18" l="1"/>
  <c r="O35" i="18" l="1"/>
  <c r="L32" i="4" l="1"/>
  <c r="L25" i="1" s="1"/>
  <c r="K32" i="4"/>
  <c r="K25" i="1" s="1"/>
  <c r="M32" i="4"/>
  <c r="M25" i="1" s="1"/>
  <c r="O32" i="4"/>
  <c r="O25" i="1" s="1"/>
  <c r="N32" i="4"/>
  <c r="N25" i="1" s="1"/>
  <c r="R35" i="14" l="1"/>
  <c r="S37" i="14" l="1"/>
  <c r="R37" i="14"/>
  <c r="T37" i="14"/>
  <c r="T36" i="14"/>
  <c r="R36" i="14"/>
  <c r="S36" i="14"/>
  <c r="S35" i="14"/>
  <c r="T35" i="14"/>
  <c r="Q205" i="14" l="1"/>
  <c r="P205" i="14"/>
  <c r="P210" i="14"/>
  <c r="P200" i="14" l="1"/>
  <c r="Q200" i="14"/>
  <c r="Q210" i="14" l="1"/>
  <c r="P261" i="2" l="1"/>
  <c r="P38" i="3"/>
  <c r="Q38" i="3"/>
  <c r="Q261" i="2"/>
  <c r="S38" i="3"/>
  <c r="S261" i="2"/>
  <c r="T261" i="2"/>
  <c r="T38" i="3"/>
  <c r="U38" i="3"/>
  <c r="U261" i="2"/>
  <c r="R38" i="3"/>
  <c r="R261" i="2"/>
  <c r="R4" i="4" l="1"/>
  <c r="R27" i="1" s="1"/>
  <c r="S4" i="4" l="1"/>
  <c r="S27" i="1" s="1"/>
  <c r="T4" i="4" l="1"/>
  <c r="T27" i="1" s="1"/>
  <c r="U4" i="4" l="1"/>
  <c r="U27" i="1" s="1"/>
  <c r="P54" i="4" l="1"/>
  <c r="P28" i="1" s="1"/>
  <c r="Q54" i="4" l="1"/>
  <c r="Q28" i="1" s="1"/>
  <c r="R54" i="4" l="1"/>
  <c r="R28" i="1" s="1"/>
  <c r="S54" i="4" l="1"/>
  <c r="S28" i="1" s="1"/>
  <c r="T54" i="4" l="1"/>
  <c r="T28" i="1" s="1"/>
  <c r="U54" i="4" l="1"/>
  <c r="U28" i="1" s="1"/>
  <c r="P5" i="18" l="1"/>
  <c r="R5" i="18" l="1"/>
  <c r="S5" i="18" l="1"/>
  <c r="T5" i="18" l="1"/>
  <c r="U5" i="18" l="1"/>
  <c r="Q5" i="18" l="1"/>
  <c r="L34" i="4" l="1"/>
  <c r="M34" i="4"/>
  <c r="K34" i="4"/>
  <c r="O38" i="4" l="1"/>
  <c r="N35" i="4"/>
  <c r="M40" i="4"/>
  <c r="M35" i="4"/>
  <c r="N40" i="4"/>
  <c r="K38" i="4"/>
  <c r="L35" i="4"/>
  <c r="M38" i="4"/>
  <c r="L31" i="4"/>
  <c r="L24" i="1" s="1"/>
  <c r="K40" i="4"/>
  <c r="L38" i="4"/>
  <c r="O40" i="4"/>
  <c r="L40" i="4"/>
  <c r="K35" i="4"/>
  <c r="O35" i="4"/>
  <c r="N38" i="4"/>
  <c r="P37" i="4" l="1"/>
  <c r="I31" i="4"/>
  <c r="I24" i="1" s="1"/>
  <c r="J33" i="4"/>
  <c r="J26" i="1" s="1"/>
  <c r="K31" i="4"/>
  <c r="K24" i="1" s="1"/>
  <c r="J31" i="4"/>
  <c r="J24" i="1" s="1"/>
  <c r="I33" i="4"/>
  <c r="I26" i="1" s="1"/>
  <c r="O31" i="4"/>
  <c r="O24" i="1" s="1"/>
  <c r="M31" i="4"/>
  <c r="M24" i="1" s="1"/>
  <c r="K33" i="4"/>
  <c r="K26" i="1" s="1"/>
  <c r="L33" i="4" l="1"/>
  <c r="L26" i="1" s="1"/>
  <c r="N31" i="4"/>
  <c r="N24" i="1" s="1"/>
  <c r="M33" i="4"/>
  <c r="M26" i="1" s="1"/>
  <c r="O33" i="4"/>
  <c r="O26" i="1" s="1"/>
  <c r="N33" i="4"/>
  <c r="N26" i="1" s="1"/>
  <c r="P27" i="18" l="1"/>
  <c r="P38" i="4" l="1"/>
  <c r="U121" i="2" l="1"/>
  <c r="P122" i="2"/>
  <c r="Q122" i="2"/>
  <c r="R122" i="2"/>
  <c r="S122" i="2"/>
  <c r="T122" i="2"/>
  <c r="U122" i="2"/>
  <c r="P121" i="2"/>
  <c r="Q121" i="2"/>
  <c r="R121" i="2"/>
  <c r="S121" i="2"/>
  <c r="T121" i="2"/>
  <c r="K19" i="4" l="1"/>
  <c r="L19" i="4"/>
  <c r="M19" i="4"/>
  <c r="N19" i="4"/>
  <c r="O19" i="4"/>
  <c r="I4" i="4" l="1"/>
  <c r="I27" i="1" s="1"/>
  <c r="N20" i="4"/>
  <c r="M20" i="4"/>
  <c r="O16" i="4"/>
  <c r="O10" i="4"/>
  <c r="O15" i="4" s="1"/>
  <c r="L20" i="4"/>
  <c r="K20" i="4"/>
  <c r="O20" i="4" l="1"/>
  <c r="O23" i="4"/>
  <c r="O24" i="4"/>
  <c r="S8" i="18" l="1"/>
  <c r="S21" i="18"/>
  <c r="R8" i="18"/>
  <c r="R21" i="18"/>
  <c r="U24" i="18"/>
  <c r="P21" i="18"/>
  <c r="P8" i="18"/>
  <c r="T8" i="18"/>
  <c r="T21" i="18"/>
  <c r="U8" i="18"/>
  <c r="U21" i="18"/>
  <c r="Q8" i="18"/>
  <c r="Q21" i="18"/>
  <c r="P24" i="18" l="1"/>
  <c r="R24" i="18"/>
  <c r="S24" i="18"/>
  <c r="T24" i="18"/>
  <c r="Q24" i="18"/>
  <c r="P19" i="4" l="1"/>
  <c r="Q19" i="4" l="1"/>
  <c r="R19" i="4" l="1"/>
  <c r="S19" i="4" l="1"/>
  <c r="P34" i="3" l="1"/>
  <c r="P254" i="2"/>
  <c r="T19" i="4"/>
  <c r="U19" i="4" l="1"/>
  <c r="T171" i="2" l="1"/>
  <c r="U108" i="2"/>
  <c r="T108" i="2"/>
  <c r="Q108" i="2"/>
  <c r="S171" i="2"/>
  <c r="R171" i="2" l="1"/>
  <c r="R108" i="2"/>
  <c r="S108" i="2"/>
  <c r="U171" i="2"/>
  <c r="Q171" i="2"/>
  <c r="P171" i="2" l="1"/>
  <c r="P108" i="2"/>
  <c r="P213" i="2" l="1"/>
  <c r="P220" i="2"/>
  <c r="P199" i="2"/>
  <c r="Q199" i="2" l="1"/>
  <c r="Q220" i="2"/>
  <c r="R213" i="2"/>
  <c r="Q213" i="2"/>
  <c r="R220" i="2"/>
  <c r="R199" i="2"/>
  <c r="T199" i="2" l="1"/>
  <c r="T220" i="2"/>
  <c r="T213" i="2"/>
  <c r="S213" i="2"/>
  <c r="S220" i="2"/>
  <c r="S199" i="2"/>
  <c r="U199" i="2" l="1"/>
  <c r="U213" i="2"/>
  <c r="U220" i="2"/>
  <c r="P117" i="2" l="1"/>
  <c r="Q117" i="2" l="1"/>
  <c r="P119" i="2"/>
  <c r="P118" i="2" l="1"/>
  <c r="Q119" i="2"/>
  <c r="R117" i="2"/>
  <c r="Q118" i="2" l="1"/>
  <c r="S117" i="2"/>
  <c r="R119" i="2"/>
  <c r="T117" i="2" l="1"/>
  <c r="S119" i="2"/>
  <c r="R118" i="2"/>
  <c r="T119" i="2" l="1"/>
  <c r="U117" i="2"/>
  <c r="S118" i="2"/>
  <c r="P23" i="2" l="1"/>
  <c r="U119" i="2"/>
  <c r="T118" i="2"/>
  <c r="U118" i="2" l="1"/>
  <c r="P19" i="2" l="1"/>
  <c r="Q19" i="2" l="1"/>
  <c r="P20" i="2"/>
  <c r="P21" i="2"/>
  <c r="R19" i="2" l="1"/>
  <c r="Q21" i="2"/>
  <c r="P24" i="2"/>
  <c r="S19" i="2" l="1"/>
  <c r="R21" i="2"/>
  <c r="Q20" i="2"/>
  <c r="Q23" i="2" l="1"/>
  <c r="S20" i="2"/>
  <c r="T19" i="2"/>
  <c r="R23" i="2"/>
  <c r="U19" i="2"/>
  <c r="S21" i="2"/>
  <c r="R20" i="2"/>
  <c r="T21" i="2"/>
  <c r="Q24" i="2" l="1"/>
  <c r="S23" i="2"/>
  <c r="U21" i="2"/>
  <c r="R24" i="2"/>
  <c r="S24" i="2" l="1"/>
  <c r="T23" i="2"/>
  <c r="U20" i="2"/>
  <c r="T20" i="2"/>
  <c r="T24" i="2" l="1"/>
  <c r="U23" i="2" l="1"/>
  <c r="U24" i="2" l="1"/>
  <c r="P241" i="2" l="1"/>
  <c r="P23" i="3"/>
  <c r="Q23" i="3" l="1"/>
  <c r="Q241" i="2"/>
  <c r="R23" i="3" l="1"/>
  <c r="R241" i="2"/>
  <c r="S23" i="3" l="1"/>
  <c r="S241" i="2"/>
  <c r="T241" i="2" l="1"/>
  <c r="T23" i="3"/>
  <c r="U23" i="3" l="1"/>
  <c r="U241" i="2"/>
  <c r="P10" i="2" l="1"/>
  <c r="P7" i="3" s="1"/>
  <c r="P262" i="2"/>
  <c r="P39" i="3"/>
  <c r="P255" i="2"/>
  <c r="P35" i="3"/>
  <c r="P248" i="2"/>
  <c r="P31" i="3"/>
  <c r="P115" i="2" l="1"/>
  <c r="P136" i="2"/>
  <c r="P37" i="3"/>
  <c r="P259" i="2"/>
  <c r="P192" i="2"/>
  <c r="P33" i="3"/>
  <c r="P252" i="2"/>
  <c r="P257" i="2"/>
  <c r="P206" i="2" l="1"/>
  <c r="P250" i="2"/>
  <c r="P251" i="2" l="1"/>
  <c r="P258" i="2"/>
  <c r="Q10" i="2" l="1"/>
  <c r="Q7" i="3" s="1"/>
  <c r="Q262" i="2"/>
  <c r="Q39" i="3"/>
  <c r="Q248" i="2"/>
  <c r="Q31" i="3"/>
  <c r="Q192" i="2" l="1"/>
  <c r="Q259" i="2"/>
  <c r="Q37" i="3"/>
  <c r="Q115" i="2"/>
  <c r="Q136" i="2"/>
  <c r="Q255" i="2"/>
  <c r="Q35" i="3"/>
  <c r="Q257" i="2"/>
  <c r="Q206" i="2" l="1"/>
  <c r="Q258" i="2" l="1"/>
  <c r="R10" i="2" l="1"/>
  <c r="R7" i="3" s="1"/>
  <c r="R31" i="3"/>
  <c r="R248" i="2"/>
  <c r="R136" i="2" l="1"/>
  <c r="R115" i="2"/>
  <c r="R35" i="3"/>
  <c r="R255" i="2"/>
  <c r="R39" i="3"/>
  <c r="R262" i="2"/>
  <c r="R192" i="2"/>
  <c r="R206" i="2" l="1"/>
  <c r="R37" i="3"/>
  <c r="R259" i="2"/>
  <c r="R257" i="2"/>
  <c r="R258" i="2" l="1"/>
  <c r="S39" i="3" l="1"/>
  <c r="S262" i="2"/>
  <c r="S10" i="2" l="1"/>
  <c r="S7" i="3" s="1"/>
  <c r="S35" i="3"/>
  <c r="S255" i="2"/>
  <c r="S136" i="2"/>
  <c r="S115" i="2"/>
  <c r="S192" i="2"/>
  <c r="S31" i="3"/>
  <c r="S248" i="2"/>
  <c r="S259" i="2"/>
  <c r="S37" i="3"/>
  <c r="S257" i="2"/>
  <c r="S206" i="2" l="1"/>
  <c r="S258" i="2" l="1"/>
  <c r="T10" i="2" l="1"/>
  <c r="T7" i="3" s="1"/>
  <c r="T39" i="3"/>
  <c r="T262" i="2"/>
  <c r="T35" i="3"/>
  <c r="T255" i="2"/>
  <c r="T248" i="2"/>
  <c r="T31" i="3"/>
  <c r="T259" i="2" l="1"/>
  <c r="T37" i="3"/>
  <c r="T115" i="2"/>
  <c r="T136" i="2"/>
  <c r="T192" i="2"/>
  <c r="T257" i="2"/>
  <c r="T206" i="2" l="1"/>
  <c r="T258" i="2" l="1"/>
  <c r="U10" i="2" l="1"/>
  <c r="U7" i="3" s="1"/>
  <c r="U248" i="2"/>
  <c r="U31" i="3"/>
  <c r="U262" i="2"/>
  <c r="U35" i="3"/>
  <c r="U255" i="2"/>
  <c r="U39" i="3" l="1"/>
  <c r="U259" i="2"/>
  <c r="U37" i="3"/>
  <c r="U136" i="2"/>
  <c r="U115" i="2"/>
  <c r="U192" i="2"/>
  <c r="U257" i="2"/>
  <c r="U206" i="2" l="1"/>
  <c r="U258" i="2" l="1"/>
  <c r="P16" i="4" l="1"/>
  <c r="Q16" i="4" l="1"/>
  <c r="R16" i="4" l="1"/>
  <c r="S16" i="4" l="1"/>
  <c r="T16" i="4" l="1"/>
  <c r="U16" i="4" l="1"/>
  <c r="P9" i="2" l="1"/>
  <c r="P6" i="3" s="1"/>
  <c r="Q22" i="4" l="1"/>
  <c r="P22" i="4"/>
  <c r="U10" i="4" l="1"/>
  <c r="P10" i="4"/>
  <c r="P13" i="4"/>
  <c r="Q13" i="4"/>
  <c r="U13" i="4"/>
  <c r="Q10" i="4"/>
  <c r="P24" i="4" l="1"/>
  <c r="P20" i="4"/>
  <c r="U20" i="4"/>
  <c r="T10" i="4"/>
  <c r="T13" i="4"/>
  <c r="R10" i="4"/>
  <c r="U15" i="4"/>
  <c r="S10" i="4"/>
  <c r="S13" i="4"/>
  <c r="Q24" i="4"/>
  <c r="Q15" i="4"/>
  <c r="Q23" i="4"/>
  <c r="Q20" i="4"/>
  <c r="P15" i="4"/>
  <c r="P23" i="4"/>
  <c r="R13" i="4"/>
  <c r="T15" i="4" l="1"/>
  <c r="R20" i="4"/>
  <c r="T20" i="4"/>
  <c r="S15" i="4"/>
  <c r="S20" i="4"/>
  <c r="R15" i="4"/>
  <c r="P14" i="4" l="1"/>
  <c r="P17" i="4" l="1"/>
  <c r="Q14" i="4"/>
  <c r="Q17" i="4" l="1"/>
  <c r="R14" i="4"/>
  <c r="P11" i="4"/>
  <c r="Q11" i="4" l="1"/>
  <c r="S14" i="4"/>
  <c r="R11" i="4"/>
  <c r="R17" i="4"/>
  <c r="P240" i="2"/>
  <c r="P22" i="3"/>
  <c r="S17" i="4" l="1"/>
  <c r="T14" i="4"/>
  <c r="Q240" i="2"/>
  <c r="Q22" i="3"/>
  <c r="R240" i="2" l="1"/>
  <c r="R22" i="3"/>
  <c r="U14" i="4"/>
  <c r="T17" i="4"/>
  <c r="S11" i="4"/>
  <c r="S22" i="3" l="1"/>
  <c r="S240" i="2"/>
  <c r="U17" i="4"/>
  <c r="T11" i="4"/>
  <c r="U11" i="4" l="1"/>
  <c r="T240" i="2"/>
  <c r="T22" i="3"/>
  <c r="U22" i="3" l="1"/>
  <c r="U240" i="2"/>
  <c r="Q9" i="2" l="1"/>
  <c r="Q6" i="3" s="1"/>
  <c r="R9" i="2" l="1"/>
  <c r="R6" i="3" s="1"/>
  <c r="S9" i="2" l="1"/>
  <c r="S6" i="3" s="1"/>
  <c r="T9" i="2" l="1"/>
  <c r="T6" i="3" s="1"/>
  <c r="U9" i="2" l="1"/>
  <c r="U6" i="3" s="1"/>
  <c r="P238" i="2" l="1"/>
  <c r="P21" i="3"/>
  <c r="Q238" i="2" l="1"/>
  <c r="Q21" i="3"/>
  <c r="P236" i="2"/>
  <c r="Q236" i="2" l="1"/>
  <c r="R238" i="2"/>
  <c r="R21" i="3"/>
  <c r="P237" i="2"/>
  <c r="S21" i="3" l="1"/>
  <c r="S238" i="2"/>
  <c r="R236" i="2"/>
  <c r="Q237" i="2"/>
  <c r="S236" i="2" l="1"/>
  <c r="R237" i="2"/>
  <c r="T21" i="3"/>
  <c r="T238" i="2"/>
  <c r="U21" i="3" l="1"/>
  <c r="U238" i="2"/>
  <c r="T236" i="2"/>
  <c r="S237" i="2"/>
  <c r="U236" i="2" l="1"/>
  <c r="T237" i="2"/>
  <c r="U237" i="2" l="1"/>
  <c r="P7" i="2" l="1"/>
  <c r="P5" i="3" s="1"/>
  <c r="P5" i="2" l="1"/>
  <c r="P6" i="2" l="1"/>
  <c r="Q7" i="2" l="1"/>
  <c r="Q5" i="3" s="1"/>
  <c r="Q5" i="2" l="1"/>
  <c r="Q6" i="2" l="1"/>
  <c r="R7" i="2" l="1"/>
  <c r="R5" i="3" s="1"/>
  <c r="R5" i="2" l="1"/>
  <c r="R6" i="2" l="1"/>
  <c r="S7" i="2" l="1"/>
  <c r="S5" i="3" s="1"/>
  <c r="S5" i="2" l="1"/>
  <c r="S6" i="2" l="1"/>
  <c r="T7" i="2" l="1"/>
  <c r="T5" i="3" s="1"/>
  <c r="T5" i="2" l="1"/>
  <c r="T6" i="2" l="1"/>
  <c r="U7" i="2" l="1"/>
  <c r="U5" i="3" s="1"/>
  <c r="U5" i="2" l="1"/>
  <c r="U6" i="2" l="1"/>
  <c r="U198" i="2" l="1"/>
  <c r="P107" i="2"/>
  <c r="P219" i="2"/>
  <c r="R219" i="2"/>
  <c r="Q135" i="2"/>
  <c r="R135" i="2"/>
  <c r="S135" i="2"/>
  <c r="Q219" i="2"/>
  <c r="T135" i="2"/>
  <c r="U135" i="2"/>
  <c r="P170" i="2"/>
  <c r="Q107" i="2"/>
  <c r="Q170" i="2"/>
  <c r="P198" i="2"/>
  <c r="P135" i="2"/>
  <c r="Q198" i="2"/>
  <c r="R198" i="2"/>
  <c r="S198" i="2"/>
  <c r="T198" i="2"/>
  <c r="M18" i="3" l="1"/>
  <c r="N18" i="3"/>
  <c r="O18" i="3"/>
  <c r="N16" i="2"/>
  <c r="O16" i="2"/>
  <c r="O19" i="3" l="1"/>
  <c r="L18" i="3"/>
  <c r="O17" i="2"/>
  <c r="M19" i="3"/>
  <c r="O10" i="3"/>
  <c r="N19" i="3"/>
  <c r="N10" i="3"/>
  <c r="N17" i="2"/>
  <c r="O11" i="3" l="1"/>
  <c r="L19" i="3"/>
  <c r="N11" i="3"/>
  <c r="P196" i="2" l="1"/>
  <c r="P217" i="2"/>
  <c r="Q217" i="2" l="1"/>
  <c r="P215" i="2"/>
  <c r="Q196" i="2"/>
  <c r="P194" i="2"/>
  <c r="Q194" i="2" l="1"/>
  <c r="R196" i="2"/>
  <c r="P216" i="2"/>
  <c r="P195" i="2"/>
  <c r="Q215" i="2"/>
  <c r="R217" i="2"/>
  <c r="R215" i="2" l="1"/>
  <c r="Q195" i="2"/>
  <c r="Q216" i="2"/>
  <c r="R194" i="2"/>
  <c r="S196" i="2"/>
  <c r="T196" i="2" l="1"/>
  <c r="R216" i="2"/>
  <c r="R195" i="2"/>
  <c r="S194" i="2"/>
  <c r="T194" i="2" l="1"/>
  <c r="S195" i="2"/>
  <c r="U196" i="2"/>
  <c r="U194" i="2" l="1"/>
  <c r="T195" i="2"/>
  <c r="U195" i="2" l="1"/>
  <c r="P212" i="2" l="1"/>
  <c r="Q212" i="2" l="1"/>
  <c r="P210" i="2"/>
  <c r="Q210" i="2" l="1"/>
  <c r="R212" i="2"/>
  <c r="P208" i="2"/>
  <c r="P209" i="2" l="1"/>
  <c r="S212" i="2"/>
  <c r="R210" i="2"/>
  <c r="Q208" i="2"/>
  <c r="R208" i="2" l="1"/>
  <c r="Q209" i="2"/>
  <c r="T212" i="2"/>
  <c r="S210" i="2"/>
  <c r="T210" i="2" l="1"/>
  <c r="S208" i="2"/>
  <c r="R209" i="2"/>
  <c r="U212" i="2"/>
  <c r="U210" i="2" l="1"/>
  <c r="S209" i="2"/>
  <c r="T208" i="2"/>
  <c r="T209" i="2" l="1"/>
  <c r="U208" i="2"/>
  <c r="U209" i="2" l="1"/>
  <c r="S219" i="2" l="1"/>
  <c r="R107" i="2"/>
  <c r="S107" i="2"/>
  <c r="T219" i="2" l="1"/>
  <c r="S217" i="2"/>
  <c r="R170" i="2"/>
  <c r="T107" i="2"/>
  <c r="U107" i="2" l="1"/>
  <c r="S170" i="2"/>
  <c r="S215" i="2"/>
  <c r="T217" i="2"/>
  <c r="U219" i="2"/>
  <c r="T215" i="2" l="1"/>
  <c r="U217" i="2"/>
  <c r="T170" i="2"/>
  <c r="S216" i="2"/>
  <c r="U170" i="2" l="1"/>
  <c r="U215" i="2"/>
  <c r="T216" i="2"/>
  <c r="U216" i="2" l="1"/>
  <c r="P105" i="2" l="1"/>
  <c r="P168" i="2"/>
  <c r="P166" i="2" l="1"/>
  <c r="Q105" i="2"/>
  <c r="Q168" i="2"/>
  <c r="P103" i="2"/>
  <c r="Q103" i="2" l="1"/>
  <c r="R105" i="2"/>
  <c r="Q166" i="2"/>
  <c r="P167" i="2"/>
  <c r="R168" i="2"/>
  <c r="P104" i="2"/>
  <c r="R103" i="2" l="1"/>
  <c r="Q167" i="2"/>
  <c r="Q104" i="2"/>
  <c r="S105" i="2"/>
  <c r="R166" i="2"/>
  <c r="S168" i="2"/>
  <c r="R167" i="2" l="1"/>
  <c r="S103" i="2"/>
  <c r="S166" i="2"/>
  <c r="T168" i="2"/>
  <c r="R104" i="2"/>
  <c r="T105" i="2"/>
  <c r="T103" i="2" l="1"/>
  <c r="T166" i="2"/>
  <c r="U168" i="2"/>
  <c r="S104" i="2"/>
  <c r="U105" i="2"/>
  <c r="S167" i="2"/>
  <c r="U166" i="2" l="1"/>
  <c r="T104" i="2"/>
  <c r="U103" i="2"/>
  <c r="T167" i="2"/>
  <c r="U104" i="2" l="1"/>
  <c r="U167" i="2"/>
  <c r="P129" i="2" l="1"/>
  <c r="Q129" i="2" l="1"/>
  <c r="R129" i="2" l="1"/>
  <c r="S129" i="2" l="1"/>
  <c r="P157" i="2"/>
  <c r="P226" i="2"/>
  <c r="Q157" i="2" l="1"/>
  <c r="T129" i="2"/>
  <c r="R157" i="2" l="1"/>
  <c r="P222" i="2"/>
  <c r="U129" i="2"/>
  <c r="Q226" i="2"/>
  <c r="S157" i="2" l="1"/>
  <c r="P227" i="2"/>
  <c r="P223" i="2"/>
  <c r="P224" i="2"/>
  <c r="Q222" i="2"/>
  <c r="R226" i="2"/>
  <c r="Q224" i="2" l="1"/>
  <c r="U157" i="2"/>
  <c r="R222" i="2"/>
  <c r="T157" i="2"/>
  <c r="S226" i="2"/>
  <c r="Q223" i="2" l="1"/>
  <c r="Q227" i="2"/>
  <c r="R224" i="2"/>
  <c r="R223" i="2" l="1"/>
  <c r="R227" i="2"/>
  <c r="S222" i="2"/>
  <c r="T226" i="2"/>
  <c r="U222" i="2" l="1"/>
  <c r="T222" i="2"/>
  <c r="S224" i="2"/>
  <c r="U226" i="2"/>
  <c r="U224" i="2" l="1"/>
  <c r="P114" i="2"/>
  <c r="T224" i="2"/>
  <c r="S227" i="2"/>
  <c r="S223" i="2"/>
  <c r="T227" i="2" l="1"/>
  <c r="T223" i="2"/>
  <c r="Q114" i="2"/>
  <c r="U227" i="2"/>
  <c r="U223" i="2"/>
  <c r="R114" i="2" l="1"/>
  <c r="S114" i="2" l="1"/>
  <c r="T114" i="2" l="1"/>
  <c r="U114" i="2" l="1"/>
  <c r="P31" i="2" l="1"/>
  <c r="Q31" i="2" l="1"/>
  <c r="R31" i="2" l="1"/>
  <c r="S31" i="2" l="1"/>
  <c r="P30" i="2"/>
  <c r="T31" i="2" l="1"/>
  <c r="Q30" i="2"/>
  <c r="U31" i="2"/>
  <c r="P28" i="2"/>
  <c r="P26" i="2" l="1"/>
  <c r="R30" i="2"/>
  <c r="Q28" i="2"/>
  <c r="S30" i="2" l="1"/>
  <c r="Q26" i="2"/>
  <c r="R28" i="2"/>
  <c r="P27" i="2"/>
  <c r="S28" i="2" l="1"/>
  <c r="T30" i="2"/>
  <c r="Q27" i="2"/>
  <c r="R26" i="2"/>
  <c r="T28" i="2" l="1"/>
  <c r="R27" i="2"/>
  <c r="S26" i="2"/>
  <c r="U30" i="2" l="1"/>
  <c r="T26" i="2"/>
  <c r="S27" i="2"/>
  <c r="T27" i="2" l="1"/>
  <c r="U26" i="2"/>
  <c r="U28" i="2"/>
  <c r="U27" i="2" l="1"/>
  <c r="P205" i="2" l="1"/>
  <c r="P72" i="2"/>
  <c r="P149" i="2"/>
  <c r="P191" i="2" l="1"/>
  <c r="P37" i="2" l="1"/>
  <c r="P44" i="2" l="1"/>
  <c r="P16" i="2"/>
  <c r="P14" i="3" l="1"/>
  <c r="P8" i="1" l="1"/>
  <c r="P46" i="4"/>
  <c r="P54" i="2" l="1"/>
  <c r="Q37" i="4"/>
  <c r="P48" i="4"/>
  <c r="Q58" i="2" l="1"/>
  <c r="P47" i="4"/>
  <c r="P56" i="2"/>
  <c r="Q54" i="2"/>
  <c r="P58" i="2"/>
  <c r="P49" i="4" l="1"/>
  <c r="R58" i="2"/>
  <c r="P59" i="2"/>
  <c r="R54" i="2"/>
  <c r="Q55" i="2"/>
  <c r="Q56" i="2"/>
  <c r="P55" i="2"/>
  <c r="S54" i="2" l="1"/>
  <c r="R56" i="2"/>
  <c r="S58" i="2"/>
  <c r="Q59" i="2"/>
  <c r="T54" i="2" l="1"/>
  <c r="T58" i="2"/>
  <c r="U54" i="2"/>
  <c r="R59" i="2"/>
  <c r="S55" i="2"/>
  <c r="S56" i="2"/>
  <c r="R55" i="2"/>
  <c r="T56" i="2"/>
  <c r="U56" i="2" l="1"/>
  <c r="U58" i="2"/>
  <c r="S59" i="2"/>
  <c r="U59" i="2" l="1"/>
  <c r="T59" i="2"/>
  <c r="U55" i="2"/>
  <c r="T55" i="2"/>
  <c r="P138" i="2" l="1"/>
  <c r="P159" i="2"/>
  <c r="P142" i="2"/>
  <c r="P163" i="2"/>
  <c r="P140" i="2" l="1"/>
  <c r="P161" i="2"/>
  <c r="P139" i="2" l="1"/>
  <c r="P160" i="2"/>
  <c r="P164" i="2"/>
  <c r="P143" i="2"/>
  <c r="Q75" i="2" l="1"/>
  <c r="P79" i="2"/>
  <c r="P75" i="2"/>
  <c r="P77" i="2" l="1"/>
  <c r="Q79" i="2"/>
  <c r="Q77" i="2"/>
  <c r="R79" i="2" l="1"/>
  <c r="S75" i="2"/>
  <c r="Q80" i="2"/>
  <c r="Q76" i="2"/>
  <c r="R75" i="2"/>
  <c r="P80" i="2"/>
  <c r="P76" i="2"/>
  <c r="S77" i="2" l="1"/>
  <c r="T75" i="2"/>
  <c r="S79" i="2"/>
  <c r="R77" i="2"/>
  <c r="T79" i="2" l="1"/>
  <c r="S80" i="2"/>
  <c r="T77" i="2"/>
  <c r="S76" i="2"/>
  <c r="U75" i="2"/>
  <c r="T76" i="2"/>
  <c r="R80" i="2"/>
  <c r="R76" i="2"/>
  <c r="U79" i="2" l="1"/>
  <c r="U76" i="2"/>
  <c r="T80" i="2"/>
  <c r="U77" i="2"/>
  <c r="U80" i="2" l="1"/>
  <c r="P233" i="2"/>
  <c r="P229" i="2" l="1"/>
  <c r="P230" i="2" l="1"/>
  <c r="P231" i="2"/>
  <c r="P234" i="2" l="1"/>
  <c r="P177" i="2" l="1"/>
  <c r="P173" i="2" l="1"/>
  <c r="Q177" i="2" l="1"/>
  <c r="Q173" i="2"/>
  <c r="P174" i="2"/>
  <c r="P175" i="2"/>
  <c r="R177" i="2" l="1"/>
  <c r="Q174" i="2"/>
  <c r="Q175" i="2"/>
  <c r="S177" i="2"/>
  <c r="R173" i="2"/>
  <c r="P178" i="2"/>
  <c r="S173" i="2" l="1"/>
  <c r="T173" i="2"/>
  <c r="R175" i="2"/>
  <c r="Q178" i="2"/>
  <c r="T177" i="2"/>
  <c r="U173" i="2"/>
  <c r="T175" i="2"/>
  <c r="R178" i="2" l="1"/>
  <c r="U175" i="2"/>
  <c r="R174" i="2"/>
  <c r="U177" i="2"/>
  <c r="S175" i="2"/>
  <c r="S178" i="2" l="1"/>
  <c r="U174" i="2"/>
  <c r="U178" i="2"/>
  <c r="S174" i="2"/>
  <c r="T174" i="2"/>
  <c r="T178" i="2"/>
  <c r="P65" i="2" l="1"/>
  <c r="P61" i="2"/>
  <c r="Q65" i="2" l="1"/>
  <c r="P63" i="2"/>
  <c r="P62" i="2"/>
  <c r="P66" i="2" l="1"/>
  <c r="Q142" i="2" l="1"/>
  <c r="P128" i="2"/>
  <c r="Q138" i="2" l="1"/>
  <c r="P126" i="2"/>
  <c r="R142" i="2" l="1"/>
  <c r="P124" i="2"/>
  <c r="Q140" i="2"/>
  <c r="R138" i="2"/>
  <c r="Q139" i="2"/>
  <c r="P125" i="2" l="1"/>
  <c r="S142" i="2"/>
  <c r="R140" i="2"/>
  <c r="S138" i="2"/>
  <c r="Q143" i="2"/>
  <c r="T138" i="2" l="1"/>
  <c r="R143" i="2"/>
  <c r="T142" i="2"/>
  <c r="S139" i="2"/>
  <c r="S140" i="2"/>
  <c r="R139" i="2"/>
  <c r="T140" i="2" l="1"/>
  <c r="S143" i="2"/>
  <c r="Q233" i="2"/>
  <c r="T139" i="2" l="1"/>
  <c r="T143" i="2"/>
  <c r="Q229" i="2" l="1"/>
  <c r="Q230" i="2" l="1"/>
  <c r="Q231" i="2"/>
  <c r="Q234" i="2" l="1"/>
  <c r="R233" i="2"/>
  <c r="R229" i="2" l="1"/>
  <c r="R231" i="2" l="1"/>
  <c r="S233" i="2"/>
  <c r="R234" i="2" l="1"/>
  <c r="R230" i="2"/>
  <c r="S229" i="2" l="1"/>
  <c r="S231" i="2" l="1"/>
  <c r="T233" i="2"/>
  <c r="S234" i="2" l="1"/>
  <c r="S230" i="2"/>
  <c r="T229" i="2" l="1"/>
  <c r="T231" i="2" l="1"/>
  <c r="P184" i="2" l="1"/>
  <c r="T234" i="2"/>
  <c r="T230" i="2"/>
  <c r="P86" i="2" l="1"/>
  <c r="P93" i="2" l="1"/>
  <c r="P87" i="2" l="1"/>
  <c r="P84" i="2" l="1"/>
  <c r="P145" i="2" l="1"/>
  <c r="Q61" i="2"/>
  <c r="P68" i="2"/>
  <c r="P89" i="2"/>
  <c r="P82" i="2"/>
  <c r="Q63" i="2" l="1"/>
  <c r="Q72" i="2"/>
  <c r="R65" i="2"/>
  <c r="Q86" i="2"/>
  <c r="P147" i="2"/>
  <c r="P70" i="2"/>
  <c r="Q149" i="2"/>
  <c r="Q205" i="2"/>
  <c r="P91" i="2"/>
  <c r="P69" i="2"/>
  <c r="P83" i="2"/>
  <c r="Q191" i="2" l="1"/>
  <c r="P146" i="2"/>
  <c r="Q66" i="2"/>
  <c r="Q62" i="2"/>
  <c r="P73" i="2"/>
  <c r="P90" i="2"/>
  <c r="P33" i="2"/>
  <c r="P150" i="2"/>
  <c r="P94" i="2"/>
  <c r="Q37" i="2" l="1"/>
  <c r="P35" i="2"/>
  <c r="Q87" i="2" l="1"/>
  <c r="P38" i="2"/>
  <c r="P34" i="2"/>
  <c r="Q84" i="2"/>
  <c r="Q68" i="2" l="1"/>
  <c r="R61" i="2"/>
  <c r="Q145" i="2"/>
  <c r="Q83" i="2"/>
  <c r="Q82" i="2"/>
  <c r="R72" i="2" l="1"/>
  <c r="R63" i="2"/>
  <c r="R149" i="2"/>
  <c r="S65" i="2"/>
  <c r="R86" i="2"/>
  <c r="Q147" i="2"/>
  <c r="Q70" i="2"/>
  <c r="R205" i="2"/>
  <c r="Q33" i="2" l="1"/>
  <c r="R66" i="2"/>
  <c r="R191" i="2"/>
  <c r="R62" i="2"/>
  <c r="Q73" i="2"/>
  <c r="Q150" i="2"/>
  <c r="Q69" i="2"/>
  <c r="Q146" i="2"/>
  <c r="R37" i="2" l="1"/>
  <c r="Q35" i="2"/>
  <c r="R87" i="2" l="1"/>
  <c r="Q38" i="2"/>
  <c r="Q34" i="2"/>
  <c r="R84" i="2" l="1"/>
  <c r="R145" i="2" l="1"/>
  <c r="S61" i="2"/>
  <c r="R68" i="2"/>
  <c r="R82" i="2"/>
  <c r="R70" i="2"/>
  <c r="S72" i="2" l="1"/>
  <c r="S205" i="2"/>
  <c r="S63" i="2"/>
  <c r="S86" i="2"/>
  <c r="S149" i="2"/>
  <c r="R147" i="2"/>
  <c r="R83" i="2"/>
  <c r="T65" i="2"/>
  <c r="S191" i="2" l="1"/>
  <c r="S66" i="2"/>
  <c r="S62" i="2"/>
  <c r="R33" i="2"/>
  <c r="R73" i="2"/>
  <c r="R150" i="2"/>
  <c r="R146" i="2"/>
  <c r="R69" i="2"/>
  <c r="R34" i="2" l="1"/>
  <c r="S37" i="2"/>
  <c r="R35" i="2"/>
  <c r="S87" i="2" l="1"/>
  <c r="R38" i="2"/>
  <c r="S84" i="2" l="1"/>
  <c r="S68" i="2" l="1"/>
  <c r="S83" i="2"/>
  <c r="T61" i="2"/>
  <c r="S145" i="2"/>
  <c r="S82" i="2"/>
  <c r="T63" i="2" l="1"/>
  <c r="T149" i="2"/>
  <c r="S70" i="2"/>
  <c r="T205" i="2"/>
  <c r="U65" i="2"/>
  <c r="T72" i="2"/>
  <c r="S147" i="2"/>
  <c r="T86" i="2"/>
  <c r="S73" i="2" l="1"/>
  <c r="T62" i="2"/>
  <c r="T191" i="2"/>
  <c r="T66" i="2"/>
  <c r="S150" i="2"/>
  <c r="S69" i="2"/>
  <c r="S146" i="2"/>
  <c r="T37" i="2" l="1"/>
  <c r="S33" i="2"/>
  <c r="T87" i="2" l="1"/>
  <c r="S34" i="2"/>
  <c r="S35" i="2"/>
  <c r="T82" i="2" l="1"/>
  <c r="U61" i="2"/>
  <c r="S38" i="2"/>
  <c r="T84" i="2"/>
  <c r="T68" i="2" l="1"/>
  <c r="U63" i="2"/>
  <c r="T145" i="2"/>
  <c r="T83" i="2"/>
  <c r="T147" i="2"/>
  <c r="U149" i="2" l="1"/>
  <c r="U205" i="2"/>
  <c r="T70" i="2"/>
  <c r="U86" i="2"/>
  <c r="U72" i="2"/>
  <c r="U66" i="2"/>
  <c r="U62" i="2"/>
  <c r="T146" i="2" l="1"/>
  <c r="T33" i="2"/>
  <c r="U191" i="2"/>
  <c r="T73" i="2"/>
  <c r="T150" i="2"/>
  <c r="T69" i="2"/>
  <c r="T35" i="2"/>
  <c r="U87" i="2" l="1"/>
  <c r="U37" i="2"/>
  <c r="U145" i="2" l="1"/>
  <c r="U84" i="2"/>
  <c r="U68" i="2"/>
  <c r="T38" i="2"/>
  <c r="T34" i="2"/>
  <c r="U70" i="2" l="1"/>
  <c r="U147" i="2"/>
  <c r="U82" i="2"/>
  <c r="U33" i="2" l="1"/>
  <c r="U150" i="2"/>
  <c r="U73" i="2"/>
  <c r="U83" i="2"/>
  <c r="U69" i="2"/>
  <c r="U146" i="2"/>
  <c r="U35" i="2" l="1"/>
  <c r="U38" i="2" l="1"/>
  <c r="U34" i="2"/>
  <c r="P100" i="2" l="1"/>
  <c r="P96" i="2" l="1"/>
  <c r="P97" i="2" l="1"/>
  <c r="P98" i="2"/>
  <c r="P101" i="2" l="1"/>
  <c r="P185" i="2" l="1"/>
  <c r="P182" i="2" l="1"/>
  <c r="Q185" i="2" l="1"/>
  <c r="P180" i="2"/>
  <c r="Q159" i="2" l="1"/>
  <c r="P156" i="2"/>
  <c r="Q163" i="2"/>
  <c r="P181" i="2"/>
  <c r="Q128" i="2"/>
  <c r="R185" i="2"/>
  <c r="P51" i="2" l="1"/>
  <c r="Q126" i="2"/>
  <c r="P154" i="2"/>
  <c r="R159" i="2"/>
  <c r="Q156" i="2"/>
  <c r="R156" i="2"/>
  <c r="S185" i="2"/>
  <c r="Q161" i="2"/>
  <c r="R163" i="2"/>
  <c r="P152" i="2" l="1"/>
  <c r="R161" i="2"/>
  <c r="T185" i="2"/>
  <c r="Q184" i="2"/>
  <c r="Q124" i="2"/>
  <c r="P18" i="3"/>
  <c r="R128" i="2"/>
  <c r="P10" i="3"/>
  <c r="S156" i="2"/>
  <c r="Q125" i="2"/>
  <c r="Q160" i="2"/>
  <c r="Q164" i="2"/>
  <c r="U138" i="2"/>
  <c r="S159" i="2"/>
  <c r="Q154" i="2"/>
  <c r="R184" i="2" l="1"/>
  <c r="R126" i="2"/>
  <c r="P153" i="2"/>
  <c r="U142" i="2"/>
  <c r="U185" i="2"/>
  <c r="S161" i="2"/>
  <c r="Q152" i="2"/>
  <c r="U140" i="2"/>
  <c r="T159" i="2"/>
  <c r="U159" i="2"/>
  <c r="S160" i="2"/>
  <c r="S128" i="2"/>
  <c r="S163" i="2"/>
  <c r="R160" i="2"/>
  <c r="T128" i="2"/>
  <c r="R154" i="2"/>
  <c r="Q182" i="2"/>
  <c r="R164" i="2"/>
  <c r="S164" i="2" l="1"/>
  <c r="Q180" i="2"/>
  <c r="T156" i="2"/>
  <c r="R182" i="2"/>
  <c r="U160" i="2"/>
  <c r="U161" i="2"/>
  <c r="T161" i="2"/>
  <c r="R152" i="2"/>
  <c r="U139" i="2"/>
  <c r="S154" i="2"/>
  <c r="S126" i="2"/>
  <c r="U143" i="2"/>
  <c r="Q153" i="2"/>
  <c r="U156" i="2"/>
  <c r="R124" i="2"/>
  <c r="T163" i="2"/>
  <c r="S184" i="2"/>
  <c r="S125" i="2" l="1"/>
  <c r="S124" i="2"/>
  <c r="R125" i="2"/>
  <c r="Q181" i="2"/>
  <c r="T126" i="2"/>
  <c r="R153" i="2"/>
  <c r="T184" i="2"/>
  <c r="U128" i="2"/>
  <c r="T124" i="2"/>
  <c r="T164" i="2"/>
  <c r="U163" i="2"/>
  <c r="S152" i="2"/>
  <c r="S182" i="2"/>
  <c r="T160" i="2"/>
  <c r="R180" i="2"/>
  <c r="T154" i="2"/>
  <c r="S180" i="2"/>
  <c r="S153" i="2" l="1"/>
  <c r="U184" i="2"/>
  <c r="T182" i="2"/>
  <c r="U154" i="2"/>
  <c r="U126" i="2"/>
  <c r="U164" i="2"/>
  <c r="T125" i="2"/>
  <c r="T152" i="2"/>
  <c r="R181" i="2"/>
  <c r="T181" i="2" l="1"/>
  <c r="U124" i="2"/>
  <c r="T153" i="2"/>
  <c r="T180" i="2"/>
  <c r="U152" i="2"/>
  <c r="S181" i="2"/>
  <c r="U182" i="2"/>
  <c r="U180" i="2" l="1"/>
  <c r="U125" i="2"/>
  <c r="U153" i="2"/>
  <c r="U181" i="2" l="1"/>
  <c r="U229" i="2" l="1"/>
  <c r="U233" i="2"/>
  <c r="U231" i="2" l="1"/>
  <c r="U230" i="2" l="1"/>
  <c r="U234" i="2"/>
  <c r="P45" i="2" l="1"/>
  <c r="P42" i="2" l="1"/>
  <c r="P40" i="2" l="1"/>
  <c r="P14" i="2"/>
  <c r="P41" i="2"/>
  <c r="P17" i="2"/>
  <c r="P12" i="2" l="1"/>
  <c r="Q44" i="2" l="1"/>
  <c r="P13" i="3"/>
  <c r="R44" i="2"/>
  <c r="P13" i="2"/>
  <c r="Q16" i="2"/>
  <c r="R45" i="2"/>
  <c r="P15" i="2"/>
  <c r="Q45" i="2"/>
  <c r="S45" i="2"/>
  <c r="Q14" i="3" l="1"/>
  <c r="S44" i="2"/>
  <c r="P15" i="3"/>
  <c r="Q42" i="2"/>
  <c r="P7" i="1"/>
  <c r="T45" i="2" l="1"/>
  <c r="Q14" i="2"/>
  <c r="R42" i="2"/>
  <c r="Q40" i="2"/>
  <c r="T44" i="2"/>
  <c r="Q46" i="4"/>
  <c r="R16" i="2"/>
  <c r="Q17" i="2"/>
  <c r="Q41" i="2"/>
  <c r="P9" i="1" l="1"/>
  <c r="R14" i="3"/>
  <c r="R14" i="2"/>
  <c r="R40" i="2"/>
  <c r="S42" i="2"/>
  <c r="Q8" i="1"/>
  <c r="Q12" i="2"/>
  <c r="Q13" i="3"/>
  <c r="R37" i="4"/>
  <c r="Q48" i="4"/>
  <c r="S16" i="2"/>
  <c r="R41" i="2"/>
  <c r="Q13" i="2" l="1"/>
  <c r="R17" i="2"/>
  <c r="S14" i="2"/>
  <c r="R13" i="3"/>
  <c r="U45" i="2"/>
  <c r="T42" i="2"/>
  <c r="S14" i="3"/>
  <c r="Q47" i="4"/>
  <c r="S40" i="2"/>
  <c r="Q15" i="3"/>
  <c r="U44" i="2"/>
  <c r="Q15" i="2"/>
  <c r="T16" i="2"/>
  <c r="R12" i="2"/>
  <c r="Q49" i="4"/>
  <c r="Q7" i="1"/>
  <c r="S41" i="2"/>
  <c r="R15" i="2" l="1"/>
  <c r="S12" i="2"/>
  <c r="U42" i="2"/>
  <c r="T40" i="2"/>
  <c r="R13" i="2"/>
  <c r="T14" i="3"/>
  <c r="S17" i="2"/>
  <c r="T14" i="2"/>
  <c r="S13" i="3"/>
  <c r="R15" i="3"/>
  <c r="R46" i="4"/>
  <c r="T41" i="2"/>
  <c r="T12" i="2"/>
  <c r="U16" i="2"/>
  <c r="R7" i="1"/>
  <c r="T17" i="2" l="1"/>
  <c r="T13" i="3"/>
  <c r="S15" i="2"/>
  <c r="S13" i="2"/>
  <c r="R8" i="1"/>
  <c r="S15" i="3"/>
  <c r="U14" i="2"/>
  <c r="Q9" i="1"/>
  <c r="U40" i="2"/>
  <c r="U14" i="3"/>
  <c r="S37" i="4"/>
  <c r="R48" i="4"/>
  <c r="S46" i="4"/>
  <c r="U41" i="2"/>
  <c r="S7" i="1"/>
  <c r="U17" i="2" l="1"/>
  <c r="R9" i="1"/>
  <c r="T15" i="3"/>
  <c r="T13" i="2"/>
  <c r="T15" i="2"/>
  <c r="U13" i="3"/>
  <c r="R47" i="4"/>
  <c r="S8" i="1"/>
  <c r="U12" i="2"/>
  <c r="T37" i="4"/>
  <c r="R49" i="4"/>
  <c r="T46" i="4"/>
  <c r="S48" i="4"/>
  <c r="S47" i="4" l="1"/>
  <c r="U13" i="2"/>
  <c r="S9" i="1"/>
  <c r="U15" i="3"/>
  <c r="T8" i="1"/>
  <c r="T7" i="1"/>
  <c r="U15" i="2"/>
  <c r="S49" i="4"/>
  <c r="U37" i="4"/>
  <c r="T48" i="4"/>
  <c r="U7" i="1" l="1"/>
  <c r="U8" i="1"/>
  <c r="T47" i="4"/>
  <c r="T9" i="1"/>
  <c r="T49" i="4"/>
  <c r="U9" i="1" l="1"/>
  <c r="P133" i="2" l="1"/>
  <c r="P112" i="2" l="1"/>
  <c r="P189" i="2"/>
  <c r="P187" i="2"/>
  <c r="P49" i="2"/>
  <c r="P203" i="2"/>
  <c r="P110" i="2" l="1"/>
  <c r="P131" i="2"/>
  <c r="P17" i="3"/>
  <c r="P52" i="2" l="1"/>
  <c r="P9" i="3"/>
  <c r="P201" i="2"/>
  <c r="P188" i="2"/>
  <c r="P132" i="2"/>
  <c r="P111" i="2"/>
  <c r="P50" i="2" l="1"/>
  <c r="P47" i="2"/>
  <c r="P11" i="3"/>
  <c r="P202" i="2"/>
  <c r="P19" i="3"/>
  <c r="P48" i="2"/>
  <c r="Q38" i="4" l="1"/>
  <c r="Q133" i="2"/>
  <c r="Q112" i="2" l="1"/>
  <c r="Q131" i="2"/>
  <c r="P40" i="4"/>
  <c r="Q203" i="2"/>
  <c r="Q189" i="2" l="1"/>
  <c r="Q110" i="2"/>
  <c r="P35" i="4"/>
  <c r="Q201" i="2"/>
  <c r="Q187" i="2"/>
  <c r="P34" i="4" l="1"/>
  <c r="Q132" i="2"/>
  <c r="Q111" i="2"/>
  <c r="P39" i="4"/>
  <c r="Q202" i="2" l="1"/>
  <c r="Q188" i="2"/>
  <c r="R38" i="4" l="1"/>
  <c r="R133" i="2"/>
  <c r="P30" i="4" l="1"/>
  <c r="P23" i="1" s="1"/>
  <c r="P31" i="4"/>
  <c r="P24" i="1" s="1"/>
  <c r="R112" i="2"/>
  <c r="R131" i="2"/>
  <c r="R203" i="2"/>
  <c r="R189" i="2"/>
  <c r="R110" i="2" l="1"/>
  <c r="R201" i="2"/>
  <c r="R187" i="2"/>
  <c r="R132" i="2" l="1"/>
  <c r="R111" i="2"/>
  <c r="R188" i="2" l="1"/>
  <c r="R202" i="2"/>
  <c r="S38" i="4" l="1"/>
  <c r="P30" i="3"/>
  <c r="P247" i="2"/>
  <c r="S133" i="2"/>
  <c r="P275" i="2" l="1"/>
  <c r="P46" i="3"/>
  <c r="P29" i="3"/>
  <c r="P245" i="2"/>
  <c r="S112" i="2"/>
  <c r="S131" i="2"/>
  <c r="S203" i="2"/>
  <c r="Q93" i="2" l="1"/>
  <c r="Q100" i="2"/>
  <c r="P243" i="2"/>
  <c r="P26" i="3"/>
  <c r="S110" i="2"/>
  <c r="S189" i="2"/>
  <c r="S201" i="2"/>
  <c r="P42" i="4"/>
  <c r="S187" i="2"/>
  <c r="Q96" i="2" l="1"/>
  <c r="Q89" i="2"/>
  <c r="Q51" i="2"/>
  <c r="S132" i="2"/>
  <c r="S111" i="2"/>
  <c r="P244" i="2"/>
  <c r="Q47" i="2" l="1"/>
  <c r="Q97" i="2"/>
  <c r="Q10" i="3"/>
  <c r="Q98" i="2"/>
  <c r="Q90" i="2"/>
  <c r="Q18" i="3"/>
  <c r="Q91" i="2"/>
  <c r="P273" i="2"/>
  <c r="P45" i="3"/>
  <c r="S202" i="2"/>
  <c r="P12" i="1"/>
  <c r="S188" i="2"/>
  <c r="P33" i="4"/>
  <c r="P26" i="1" s="1"/>
  <c r="Q34" i="3"/>
  <c r="Q254" i="2"/>
  <c r="P41" i="4"/>
  <c r="P32" i="4"/>
  <c r="P25" i="1" s="1"/>
  <c r="P50" i="3"/>
  <c r="P25" i="3"/>
  <c r="Q101" i="2" l="1"/>
  <c r="Q94" i="2"/>
  <c r="Q49" i="2"/>
  <c r="Q33" i="3"/>
  <c r="Q252" i="2"/>
  <c r="P271" i="2"/>
  <c r="P47" i="3"/>
  <c r="P276" i="2"/>
  <c r="P5" i="1"/>
  <c r="P22" i="1" s="1"/>
  <c r="Q250" i="2"/>
  <c r="Q52" i="2" l="1"/>
  <c r="Q17" i="3"/>
  <c r="Q48" i="2"/>
  <c r="Q50" i="2"/>
  <c r="Q9" i="3"/>
  <c r="T38" i="4"/>
  <c r="P272" i="2"/>
  <c r="P27" i="3"/>
  <c r="P49" i="3"/>
  <c r="T133" i="2"/>
  <c r="Q11" i="3" l="1"/>
  <c r="Q19" i="3"/>
  <c r="Q251" i="2"/>
  <c r="T112" i="2"/>
  <c r="P11" i="1"/>
  <c r="T131" i="2"/>
  <c r="T203" i="2" l="1"/>
  <c r="P51" i="3"/>
  <c r="P13" i="1"/>
  <c r="P4" i="1"/>
  <c r="P14" i="1" s="1"/>
  <c r="T189" i="2"/>
  <c r="T110" i="2"/>
  <c r="T187" i="2"/>
  <c r="T132" i="2" l="1"/>
  <c r="P40" i="3"/>
  <c r="P4" i="3"/>
  <c r="P20" i="1"/>
  <c r="P21" i="1" s="1"/>
  <c r="P36" i="3"/>
  <c r="P32" i="3"/>
  <c r="P20" i="3"/>
  <c r="P12" i="3"/>
  <c r="P10" i="1"/>
  <c r="P16" i="3"/>
  <c r="P8" i="3"/>
  <c r="P28" i="3"/>
  <c r="P24" i="3"/>
  <c r="P44" i="3"/>
  <c r="P48" i="3"/>
  <c r="P6" i="1"/>
  <c r="T201" i="2"/>
  <c r="T111" i="2"/>
  <c r="T188" i="2" l="1"/>
  <c r="T202" i="2"/>
  <c r="U38" i="4" l="1"/>
  <c r="U133" i="2"/>
  <c r="U112" i="2" l="1"/>
  <c r="U131" i="2"/>
  <c r="U203" i="2"/>
  <c r="U189" i="2"/>
  <c r="U110" i="2" l="1"/>
  <c r="U201" i="2"/>
  <c r="U187" i="2"/>
  <c r="U132" i="2" l="1"/>
  <c r="U111" i="2"/>
  <c r="U188" i="2" l="1"/>
  <c r="U202" i="2"/>
  <c r="P26" i="18" l="1"/>
  <c r="Q27" i="18"/>
  <c r="R27" i="18" l="1"/>
  <c r="S27" i="18" l="1"/>
  <c r="T27" i="18" l="1"/>
  <c r="U27" i="18" l="1"/>
  <c r="P6" i="18" l="1"/>
  <c r="P4" i="18"/>
  <c r="P10" i="18" l="1"/>
  <c r="P9" i="18" l="1"/>
  <c r="P22" i="18"/>
  <c r="P7" i="18"/>
  <c r="P20" i="18" l="1"/>
  <c r="P25" i="18" l="1"/>
  <c r="P11" i="18" l="1"/>
  <c r="P23" i="18" l="1"/>
  <c r="P19" i="18" l="1"/>
  <c r="Q26" i="18" l="1"/>
  <c r="Q34" i="4" l="1"/>
  <c r="Q35" i="4"/>
  <c r="Q40" i="4"/>
  <c r="Q39" i="4"/>
  <c r="Q6" i="18" l="1"/>
  <c r="Q4" i="18" l="1"/>
  <c r="Q10" i="18" l="1"/>
  <c r="Q31" i="4" l="1"/>
  <c r="Q24" i="1" s="1"/>
  <c r="Q30" i="4"/>
  <c r="Q23" i="1" s="1"/>
  <c r="Q9" i="18" l="1"/>
  <c r="Q22" i="18"/>
  <c r="Q30" i="3"/>
  <c r="Q247" i="2"/>
  <c r="Q245" i="2" l="1"/>
  <c r="Q29" i="3"/>
  <c r="Q7" i="18"/>
  <c r="R100" i="2" l="1"/>
  <c r="R93" i="2"/>
  <c r="Q275" i="2"/>
  <c r="Q46" i="3"/>
  <c r="Q20" i="18"/>
  <c r="Q243" i="2"/>
  <c r="Q42" i="4"/>
  <c r="R89" i="2" l="1"/>
  <c r="S93" i="2"/>
  <c r="R51" i="2"/>
  <c r="R96" i="2"/>
  <c r="Q244" i="2"/>
  <c r="Q32" i="4"/>
  <c r="Q25" i="1" s="1"/>
  <c r="Q26" i="3"/>
  <c r="R47" i="2" l="1"/>
  <c r="R18" i="3"/>
  <c r="R97" i="2"/>
  <c r="R98" i="2"/>
  <c r="R90" i="2"/>
  <c r="R91" i="2"/>
  <c r="R10" i="3"/>
  <c r="Q33" i="4"/>
  <c r="Q26" i="1" s="1"/>
  <c r="S89" i="2"/>
  <c r="Q273" i="2"/>
  <c r="Q45" i="3"/>
  <c r="Q41" i="4"/>
  <c r="Q25" i="3"/>
  <c r="R49" i="2" l="1"/>
  <c r="S90" i="2"/>
  <c r="S91" i="2"/>
  <c r="R94" i="2"/>
  <c r="R101" i="2"/>
  <c r="Q271" i="2"/>
  <c r="Q276" i="2"/>
  <c r="Q47" i="3"/>
  <c r="Q12" i="1"/>
  <c r="Q50" i="3"/>
  <c r="R50" i="2" l="1"/>
  <c r="R17" i="3"/>
  <c r="R52" i="2"/>
  <c r="S94" i="2"/>
  <c r="R9" i="3"/>
  <c r="R48" i="2"/>
  <c r="Q11" i="1"/>
  <c r="Q272" i="2"/>
  <c r="R254" i="2"/>
  <c r="R34" i="3"/>
  <c r="Q27" i="3"/>
  <c r="Q5" i="1"/>
  <c r="Q22" i="1" s="1"/>
  <c r="Q49" i="3"/>
  <c r="Q25" i="18"/>
  <c r="R11" i="3" l="1"/>
  <c r="R19" i="3"/>
  <c r="Q13" i="1"/>
  <c r="R33" i="3"/>
  <c r="R252" i="2"/>
  <c r="R250" i="2"/>
  <c r="Q11" i="18" l="1"/>
  <c r="Q4" i="1"/>
  <c r="Q51" i="3"/>
  <c r="Q23" i="18"/>
  <c r="Q6" i="1" l="1"/>
  <c r="Q48" i="3"/>
  <c r="Q36" i="3"/>
  <c r="Q20" i="3"/>
  <c r="Q40" i="3"/>
  <c r="Q20" i="1"/>
  <c r="Q21" i="1" s="1"/>
  <c r="Q4" i="3"/>
  <c r="Q12" i="3"/>
  <c r="Q10" i="1"/>
  <c r="Q8" i="3"/>
  <c r="Q16" i="3"/>
  <c r="Q32" i="3"/>
  <c r="Q28" i="3"/>
  <c r="Q44" i="3"/>
  <c r="Q24" i="3"/>
  <c r="Q14" i="1"/>
  <c r="R251" i="2"/>
  <c r="Q19" i="18"/>
  <c r="R6" i="18" l="1"/>
  <c r="R10" i="18" l="1"/>
  <c r="R4" i="18"/>
  <c r="R35" i="4" l="1"/>
  <c r="R40" i="4" l="1"/>
  <c r="R34" i="4"/>
  <c r="R39" i="4" l="1"/>
  <c r="R26" i="18" l="1"/>
  <c r="R30" i="4" l="1"/>
  <c r="R23" i="1" s="1"/>
  <c r="R31" i="4"/>
  <c r="R24" i="1" s="1"/>
  <c r="R30" i="3" l="1"/>
  <c r="R247" i="2"/>
  <c r="R9" i="18"/>
  <c r="R22" i="18"/>
  <c r="R29" i="3" l="1"/>
  <c r="R245" i="2"/>
  <c r="S100" i="2"/>
  <c r="R7" i="18"/>
  <c r="R275" i="2"/>
  <c r="R46" i="3"/>
  <c r="R26" i="3" l="1"/>
  <c r="R42" i="4"/>
  <c r="R20" i="18"/>
  <c r="S51" i="2"/>
  <c r="S96" i="2"/>
  <c r="R243" i="2"/>
  <c r="R244" i="2" l="1"/>
  <c r="S47" i="2"/>
  <c r="S97" i="2"/>
  <c r="S98" i="2"/>
  <c r="R41" i="4"/>
  <c r="R273" i="2"/>
  <c r="R45" i="3"/>
  <c r="S10" i="3"/>
  <c r="S18" i="3"/>
  <c r="R50" i="3" l="1"/>
  <c r="S49" i="2"/>
  <c r="R32" i="4"/>
  <c r="R25" i="1" s="1"/>
  <c r="R12" i="1"/>
  <c r="R25" i="3"/>
  <c r="R33" i="4"/>
  <c r="R26" i="1" s="1"/>
  <c r="S34" i="3"/>
  <c r="S254" i="2"/>
  <c r="R271" i="2"/>
  <c r="S101" i="2"/>
  <c r="R276" i="2"/>
  <c r="R47" i="3"/>
  <c r="S52" i="2" l="1"/>
  <c r="R272" i="2"/>
  <c r="S17" i="3"/>
  <c r="R5" i="1"/>
  <c r="R22" i="1" s="1"/>
  <c r="R27" i="3"/>
  <c r="S33" i="3"/>
  <c r="S252" i="2"/>
  <c r="S48" i="2"/>
  <c r="S50" i="2"/>
  <c r="S9" i="3"/>
  <c r="R25" i="18" l="1"/>
  <c r="S19" i="3"/>
  <c r="R4" i="1"/>
  <c r="R49" i="3"/>
  <c r="R48" i="3" s="1"/>
  <c r="R11" i="1"/>
  <c r="R14" i="1" s="1"/>
  <c r="S250" i="2"/>
  <c r="S11" i="3"/>
  <c r="R11" i="18" l="1"/>
  <c r="R13" i="1"/>
  <c r="S251" i="2"/>
  <c r="R36" i="3"/>
  <c r="R4" i="3"/>
  <c r="R40" i="3"/>
  <c r="R8" i="3"/>
  <c r="R20" i="1"/>
  <c r="R21" i="1" s="1"/>
  <c r="R12" i="3"/>
  <c r="R32" i="3"/>
  <c r="R20" i="3"/>
  <c r="R16" i="3"/>
  <c r="R10" i="1"/>
  <c r="R28" i="3"/>
  <c r="R44" i="3"/>
  <c r="R24" i="3"/>
  <c r="R51" i="3"/>
  <c r="R6" i="1"/>
  <c r="R23" i="18" l="1"/>
  <c r="R19" i="18" l="1"/>
  <c r="S6" i="18"/>
  <c r="S4" i="18" l="1"/>
  <c r="S10" i="18" l="1"/>
  <c r="S35" i="4" l="1"/>
  <c r="S40" i="4" l="1"/>
  <c r="S34" i="4"/>
  <c r="S39" i="4" l="1"/>
  <c r="S26" i="18"/>
  <c r="S30" i="4" l="1"/>
  <c r="S23" i="1" s="1"/>
  <c r="S31" i="4"/>
  <c r="S24" i="1" s="1"/>
  <c r="S30" i="3" l="1"/>
  <c r="S247" i="2"/>
  <c r="S9" i="18"/>
  <c r="S22" i="18"/>
  <c r="S7" i="18" l="1"/>
  <c r="S29" i="3"/>
  <c r="S245" i="2"/>
  <c r="T93" i="2" l="1"/>
  <c r="S243" i="2"/>
  <c r="S20" i="18"/>
  <c r="S46" i="3"/>
  <c r="S275" i="2"/>
  <c r="T100" i="2"/>
  <c r="T51" i="2" l="1"/>
  <c r="S32" i="4"/>
  <c r="S25" i="1" s="1"/>
  <c r="T96" i="2"/>
  <c r="S26" i="3"/>
  <c r="S33" i="4"/>
  <c r="S26" i="1" s="1"/>
  <c r="T89" i="2"/>
  <c r="S244" i="2"/>
  <c r="S42" i="4"/>
  <c r="S45" i="3" l="1"/>
  <c r="S273" i="2"/>
  <c r="T10" i="3"/>
  <c r="T18" i="3"/>
  <c r="T90" i="2"/>
  <c r="T98" i="2"/>
  <c r="T47" i="2"/>
  <c r="T97" i="2"/>
  <c r="T91" i="2"/>
  <c r="S41" i="4"/>
  <c r="S25" i="3" l="1"/>
  <c r="T48" i="2"/>
  <c r="T101" i="2"/>
  <c r="T94" i="2"/>
  <c r="S47" i="3"/>
  <c r="S276" i="2"/>
  <c r="S271" i="2"/>
  <c r="T49" i="2"/>
  <c r="S12" i="1"/>
  <c r="S50" i="3"/>
  <c r="T50" i="2" l="1"/>
  <c r="S11" i="1"/>
  <c r="S5" i="1"/>
  <c r="S22" i="1" s="1"/>
  <c r="T52" i="2"/>
  <c r="S272" i="2"/>
  <c r="T34" i="3"/>
  <c r="T254" i="2"/>
  <c r="S27" i="3"/>
  <c r="T9" i="3"/>
  <c r="T17" i="3"/>
  <c r="T11" i="3" l="1"/>
  <c r="S13" i="1"/>
  <c r="T33" i="3"/>
  <c r="T252" i="2"/>
  <c r="S49" i="3"/>
  <c r="T19" i="3"/>
  <c r="S25" i="18"/>
  <c r="S11" i="18" l="1"/>
  <c r="S51" i="3"/>
  <c r="S4" i="1"/>
  <c r="S48" i="3" s="1"/>
  <c r="T250" i="2"/>
  <c r="S6" i="1" l="1"/>
  <c r="S12" i="3"/>
  <c r="S4" i="3"/>
  <c r="S36" i="3"/>
  <c r="S20" i="1"/>
  <c r="S21" i="1" s="1"/>
  <c r="S8" i="3"/>
  <c r="S32" i="3"/>
  <c r="S40" i="3"/>
  <c r="S20" i="3"/>
  <c r="S10" i="1"/>
  <c r="S16" i="3"/>
  <c r="S28" i="3"/>
  <c r="S44" i="3"/>
  <c r="S24" i="3"/>
  <c r="S14" i="1"/>
  <c r="S23" i="18"/>
  <c r="T251" i="2"/>
  <c r="S19" i="18" l="1"/>
  <c r="T6" i="18"/>
  <c r="T4" i="18" l="1"/>
  <c r="T10" i="18" l="1"/>
  <c r="T35" i="4" l="1"/>
  <c r="T34" i="4" l="1"/>
  <c r="T40" i="4"/>
  <c r="T39" i="4" l="1"/>
  <c r="T26" i="18" l="1"/>
  <c r="T31" i="4" l="1"/>
  <c r="T24" i="1" s="1"/>
  <c r="T30" i="4"/>
  <c r="T23" i="1" s="1"/>
  <c r="T9" i="18" l="1"/>
  <c r="T22" i="18"/>
  <c r="T30" i="3"/>
  <c r="T247" i="2"/>
  <c r="T245" i="2" l="1"/>
  <c r="T29" i="3"/>
  <c r="T7" i="18"/>
  <c r="T243" i="2" l="1"/>
  <c r="T20" i="18"/>
  <c r="T46" i="3"/>
  <c r="T275" i="2"/>
  <c r="U93" i="2"/>
  <c r="U89" i="2"/>
  <c r="U100" i="2"/>
  <c r="U96" i="2"/>
  <c r="T42" i="4"/>
  <c r="U98" i="2" l="1"/>
  <c r="T26" i="3"/>
  <c r="U90" i="2"/>
  <c r="T244" i="2"/>
  <c r="U91" i="2"/>
  <c r="T33" i="4"/>
  <c r="T26" i="1" s="1"/>
  <c r="U51" i="2"/>
  <c r="T41" i="4"/>
  <c r="U47" i="2"/>
  <c r="T32" i="4"/>
  <c r="T25" i="1" s="1"/>
  <c r="U97" i="2" l="1"/>
  <c r="U18" i="3"/>
  <c r="T45" i="3"/>
  <c r="T273" i="2"/>
  <c r="U101" i="2"/>
  <c r="U49" i="2"/>
  <c r="U10" i="3"/>
  <c r="U94" i="2"/>
  <c r="T25" i="3" l="1"/>
  <c r="U17" i="3"/>
  <c r="U48" i="2"/>
  <c r="T271" i="2"/>
  <c r="U9" i="3"/>
  <c r="T47" i="3"/>
  <c r="T276" i="2"/>
  <c r="U52" i="2"/>
  <c r="U50" i="2"/>
  <c r="T12" i="1"/>
  <c r="U254" i="2"/>
  <c r="U34" i="3"/>
  <c r="T50" i="3"/>
  <c r="T272" i="2" l="1"/>
  <c r="T5" i="1"/>
  <c r="T22" i="1" s="1"/>
  <c r="U252" i="2"/>
  <c r="U33" i="3"/>
  <c r="U19" i="3"/>
  <c r="T11" i="1"/>
  <c r="U11" i="3"/>
  <c r="T27" i="3"/>
  <c r="T25" i="18" l="1"/>
  <c r="U250" i="2"/>
  <c r="T49" i="3"/>
  <c r="T13" i="1"/>
  <c r="T11" i="18" l="1"/>
  <c r="T4" i="1"/>
  <c r="T48" i="3" s="1"/>
  <c r="T51" i="3"/>
  <c r="U251" i="2"/>
  <c r="T36" i="3" l="1"/>
  <c r="T20" i="1"/>
  <c r="T21" i="1" s="1"/>
  <c r="T20" i="3"/>
  <c r="T12" i="3"/>
  <c r="T40" i="3"/>
  <c r="T4" i="3"/>
  <c r="T10" i="1"/>
  <c r="T8" i="3"/>
  <c r="T16" i="3"/>
  <c r="T32" i="3"/>
  <c r="T28" i="3"/>
  <c r="T44" i="3"/>
  <c r="T24" i="3"/>
  <c r="T14" i="1"/>
  <c r="T6" i="1"/>
  <c r="T23" i="18"/>
  <c r="U6" i="18"/>
  <c r="T19" i="18" l="1"/>
  <c r="U4" i="18"/>
  <c r="U10" i="18" l="1"/>
  <c r="U35" i="4" l="1"/>
  <c r="U40" i="4" l="1"/>
  <c r="U34" i="4"/>
  <c r="U39" i="4" l="1"/>
  <c r="U26" i="18" l="1"/>
  <c r="U30" i="4"/>
  <c r="U23" i="1" s="1"/>
  <c r="U31" i="4"/>
  <c r="U24" i="1" s="1"/>
  <c r="U9" i="18" l="1"/>
  <c r="U22" i="18"/>
  <c r="U247" i="2"/>
  <c r="U30" i="3"/>
  <c r="U29" i="3" l="1"/>
  <c r="U245" i="2"/>
  <c r="U42" i="4"/>
  <c r="U7" i="18"/>
  <c r="U275" i="2"/>
  <c r="U46" i="3"/>
  <c r="U20" i="18" l="1"/>
  <c r="U243" i="2"/>
  <c r="U26" i="3"/>
  <c r="U41" i="4"/>
  <c r="U33" i="4" l="1"/>
  <c r="U26" i="1" s="1"/>
  <c r="U32" i="4"/>
  <c r="U25" i="1" s="1"/>
  <c r="U45" i="3"/>
  <c r="U273" i="2"/>
  <c r="U244" i="2"/>
  <c r="U25" i="3" l="1"/>
  <c r="U12" i="1"/>
  <c r="U50" i="3"/>
  <c r="U276" i="2"/>
  <c r="U47" i="3"/>
  <c r="U271" i="2"/>
  <c r="U27" i="3" l="1"/>
  <c r="U272" i="2"/>
  <c r="U5" i="1"/>
  <c r="U22" i="1" s="1"/>
  <c r="U49" i="3" l="1"/>
  <c r="U11" i="1"/>
  <c r="U25" i="18"/>
  <c r="U11" i="18" l="1"/>
  <c r="U4" i="1"/>
  <c r="U51" i="3"/>
  <c r="U13" i="1"/>
  <c r="U23" i="18" l="1"/>
  <c r="U6" i="1"/>
  <c r="U40" i="3"/>
  <c r="U20" i="3"/>
  <c r="U10" i="1"/>
  <c r="U36" i="3"/>
  <c r="U4" i="3"/>
  <c r="U12" i="3"/>
  <c r="U20" i="1"/>
  <c r="U21" i="1" s="1"/>
  <c r="U16" i="3"/>
  <c r="U8" i="3"/>
  <c r="U32" i="3"/>
  <c r="U28" i="3"/>
  <c r="U44" i="3"/>
  <c r="U24" i="3"/>
  <c r="U48" i="3"/>
  <c r="U14" i="1"/>
  <c r="U19" i="18" l="1"/>
  <c r="N199" i="14" l="1"/>
  <c r="M199" i="14"/>
  <c r="L199" i="14"/>
  <c r="K199" i="14"/>
  <c r="Q197" i="14"/>
  <c r="P197" i="14"/>
  <c r="I199" i="14" l="1"/>
  <c r="J199" i="14"/>
  <c r="I197" i="14"/>
  <c r="K197" i="14"/>
  <c r="L197" i="14"/>
  <c r="J197" i="14"/>
  <c r="P196" i="14"/>
  <c r="Q196" i="14"/>
  <c r="N197" i="14" l="1"/>
  <c r="M197" i="14"/>
  <c r="L207" i="14" l="1"/>
  <c r="Q207" i="14"/>
  <c r="J207" i="14"/>
  <c r="K207" i="14"/>
  <c r="M207" i="14"/>
  <c r="P207" i="14"/>
  <c r="N207" i="14"/>
  <c r="Q199" i="14" l="1"/>
  <c r="P199" i="14"/>
  <c r="O199" i="14"/>
  <c r="O197" i="14" l="1"/>
  <c r="O207" i="14" l="1"/>
  <c r="P198" i="14" l="1"/>
  <c r="Q198" i="14" l="1"/>
  <c r="P195" i="14"/>
  <c r="Q195" i="14" l="1"/>
  <c r="P190" i="14"/>
  <c r="Q190" i="14" l="1"/>
</calcChain>
</file>

<file path=xl/sharedStrings.xml><?xml version="1.0" encoding="utf-8"?>
<sst xmlns="http://schemas.openxmlformats.org/spreadsheetml/2006/main" count="1500" uniqueCount="411">
  <si>
    <t>№</t>
  </si>
  <si>
    <t>Göstəricilər</t>
  </si>
  <si>
    <t>Ölçü vahidi</t>
  </si>
  <si>
    <t>Proqnoz</t>
  </si>
  <si>
    <t>AZN</t>
  </si>
  <si>
    <t>USD</t>
  </si>
  <si>
    <t>%</t>
  </si>
  <si>
    <t>Adambaşına düşən ÜDM-in həcmi:</t>
  </si>
  <si>
    <t>İnflyasiya (İQİ, orta illik)</t>
  </si>
  <si>
    <t>Valyuta məzənnəsi (orta illik):</t>
  </si>
  <si>
    <t>Manatla</t>
  </si>
  <si>
    <t>ABŞ dolları ilə</t>
  </si>
  <si>
    <t>mln AZN</t>
  </si>
  <si>
    <t>Hesabat</t>
  </si>
  <si>
    <t>Əhali:</t>
  </si>
  <si>
    <t xml:space="preserve"> mln AZN</t>
  </si>
  <si>
    <t>real artım tempi</t>
  </si>
  <si>
    <t>3.</t>
  </si>
  <si>
    <t>3.1.</t>
  </si>
  <si>
    <t>3.2.</t>
  </si>
  <si>
    <t>Yaşayış minimumu</t>
  </si>
  <si>
    <t>Əmək qabiliyyətli əhali üçün</t>
  </si>
  <si>
    <t>Pensiyaçılar üçün</t>
  </si>
  <si>
    <t>Uşaqlar üçün</t>
  </si>
  <si>
    <t>1.</t>
  </si>
  <si>
    <t>2.</t>
  </si>
  <si>
    <t>4.</t>
  </si>
  <si>
    <t>5.</t>
  </si>
  <si>
    <t>İşğal olunmuş torpaqlar nəzərə alınmaqla (dövrün sonuna)</t>
  </si>
  <si>
    <t>İşğal olunmuş torpaqlar nəzərə alınmadan (orta illik)</t>
  </si>
  <si>
    <t>min nəfər</t>
  </si>
  <si>
    <t>ÜDM-də payı, %</t>
  </si>
  <si>
    <t>2.1.</t>
  </si>
  <si>
    <t>2.2.</t>
  </si>
  <si>
    <t>3.22.</t>
  </si>
  <si>
    <t>3.21.</t>
  </si>
  <si>
    <t>3.20.</t>
  </si>
  <si>
    <t>3.23.</t>
  </si>
  <si>
    <t>6.</t>
  </si>
  <si>
    <t>6.1.</t>
  </si>
  <si>
    <t>6.1.1.</t>
  </si>
  <si>
    <t>6.1.2.</t>
  </si>
  <si>
    <t>6.2.</t>
  </si>
  <si>
    <t>6.1.3.</t>
  </si>
  <si>
    <t>6.2.1.</t>
  </si>
  <si>
    <t>6.2.2.</t>
  </si>
  <si>
    <t>6.2.3.</t>
  </si>
  <si>
    <t>3.24.</t>
  </si>
  <si>
    <t>Zərgərlik, musiqi, idman və tibb avadanlıqlarının istehsalı</t>
  </si>
  <si>
    <t>min manat</t>
  </si>
  <si>
    <t>min ədəd</t>
  </si>
  <si>
    <t>EHTİYAT AKTİVLƏRİ</t>
  </si>
  <si>
    <t xml:space="preserve">D. </t>
  </si>
  <si>
    <t>E.</t>
  </si>
  <si>
    <t xml:space="preserve">ÜDM bazar qiymətləri ilə </t>
  </si>
  <si>
    <t xml:space="preserve">real artım tempi </t>
  </si>
  <si>
    <t>deflyator</t>
  </si>
  <si>
    <t>payı  (ÜDM-də)</t>
  </si>
  <si>
    <t>Gəlirlər</t>
  </si>
  <si>
    <t>Xərclər</t>
  </si>
  <si>
    <t>Neftin qiyməti</t>
  </si>
  <si>
    <t>USD/ barel</t>
  </si>
  <si>
    <t>ABŞ dolları</t>
  </si>
  <si>
    <t>AZN/USD</t>
  </si>
  <si>
    <t>Avro</t>
  </si>
  <si>
    <t>AZN/EUR</t>
  </si>
  <si>
    <t>Kənd, meşə və balıqçılıq təsərrüfatı</t>
  </si>
  <si>
    <t>a</t>
  </si>
  <si>
    <t xml:space="preserve">ümumi buraxılış </t>
  </si>
  <si>
    <t>b</t>
  </si>
  <si>
    <t>aralıq istehlak</t>
  </si>
  <si>
    <t>c</t>
  </si>
  <si>
    <t>əlavə dəyər</t>
  </si>
  <si>
    <t>əlavə dəyərin xüsusi çəkisi</t>
  </si>
  <si>
    <t>Mədənçıxarma sənayesi</t>
  </si>
  <si>
    <t>Xam neft və təbii qaz hasilatı</t>
  </si>
  <si>
    <t>Metal filizlərinin hasilatı</t>
  </si>
  <si>
    <t>2.3.</t>
  </si>
  <si>
    <t>Mədənçıxarma sənayesinin digər sahələri</t>
  </si>
  <si>
    <t>2.4.</t>
  </si>
  <si>
    <t>Mədənçıxarma sənayesi sahəsinə xidmətlərin göstərilməsi</t>
  </si>
  <si>
    <t>Emal sənayesi</t>
  </si>
  <si>
    <t>Qida məhsullarının istehsalı</t>
  </si>
  <si>
    <t>İçki istehsalı</t>
  </si>
  <si>
    <t>3.3.</t>
  </si>
  <si>
    <t>Tütün məmulatlarının istehsalı</t>
  </si>
  <si>
    <t>3.4.</t>
  </si>
  <si>
    <t>Toxuculuq sənayesi</t>
  </si>
  <si>
    <t>3.5.</t>
  </si>
  <si>
    <t>Geyim istehsalı</t>
  </si>
  <si>
    <t>3.6.</t>
  </si>
  <si>
    <t>Dəri və dəri məmulatlarının, ayaqqabıların istehsalı</t>
  </si>
  <si>
    <t>3.7.</t>
  </si>
  <si>
    <t>Ağac emalı və ağacdan məmulatların istehsalı</t>
  </si>
  <si>
    <t>3.8.</t>
  </si>
  <si>
    <t>Kağız və karton istehsalı</t>
  </si>
  <si>
    <t>3.9.</t>
  </si>
  <si>
    <t xml:space="preserve">Poliqrafiya fəaliyyəti </t>
  </si>
  <si>
    <t>3.10.</t>
  </si>
  <si>
    <t>Neft məhsullarının istehsalı</t>
  </si>
  <si>
    <t>3.11.</t>
  </si>
  <si>
    <t>Kimya sənayesi</t>
  </si>
  <si>
    <t>3.12.</t>
  </si>
  <si>
    <t>Əczaçılıq məhsullarının istehsalı</t>
  </si>
  <si>
    <t>3.13.</t>
  </si>
  <si>
    <t>Rezin və plastmas məmulatlarının istehsalı</t>
  </si>
  <si>
    <t>3.14.</t>
  </si>
  <si>
    <t>Tikinti materiallarının istehsalı</t>
  </si>
  <si>
    <t>3.15.</t>
  </si>
  <si>
    <t>Metallurgiya sənayesi</t>
  </si>
  <si>
    <t>3.16.</t>
  </si>
  <si>
    <t>Maşın və avadanlıqlardan başqa hazır metal məmulatlarının istehsalı</t>
  </si>
  <si>
    <t>3.17.</t>
  </si>
  <si>
    <t>Kompüter və digər elektron avadanlıqların istehsalı</t>
  </si>
  <si>
    <t>3.18.</t>
  </si>
  <si>
    <t>Elektrik avadanlıqlarının istehsalı</t>
  </si>
  <si>
    <t>3.19.</t>
  </si>
  <si>
    <t>Maşınqayırma sənayesi (Maşın və avadanlıqların istehsalı)</t>
  </si>
  <si>
    <t>Avtomobil və qoşquların istehsalı</t>
  </si>
  <si>
    <t>Sair nəqliyyat vasitələrinin istehsalı</t>
  </si>
  <si>
    <t>Mebellərin istehsalı</t>
  </si>
  <si>
    <t>Maşın və avadanlıqların quraşdırılması və təmiri</t>
  </si>
  <si>
    <t>Elektrik enerjisi, qaz və buxar istehsalı, bölüşdürülməsi və təchizatı</t>
  </si>
  <si>
    <t>Su təchizatı; tullantıların təmizlənməsi və emalı</t>
  </si>
  <si>
    <t>Tikinti</t>
  </si>
  <si>
    <t>7.</t>
  </si>
  <si>
    <t>Ticarət; nəqliyyat vasitələrinin təmiri</t>
  </si>
  <si>
    <t>8.</t>
  </si>
  <si>
    <t>Turistlərin yerləşdirilməsi və ictimai iaşə</t>
  </si>
  <si>
    <t>9.</t>
  </si>
  <si>
    <t>Nəqliyyat və anbar təsərrüfatı</t>
  </si>
  <si>
    <t>10.</t>
  </si>
  <si>
    <t>İnformasiya və rabitə</t>
  </si>
  <si>
    <t>11.</t>
  </si>
  <si>
    <t>Sosial və digər sahələrdə yaradılmış əlavə dəyər</t>
  </si>
  <si>
    <t>Əsas kapitala cəmi investisiyalar</t>
  </si>
  <si>
    <t>Daxili/Xarici</t>
  </si>
  <si>
    <t>Daxili investisiya</t>
  </si>
  <si>
    <t>Xarici investisiya</t>
  </si>
  <si>
    <t>Neft və qaz sektoru</t>
  </si>
  <si>
    <t>Digər sahələr</t>
  </si>
  <si>
    <t>Dövlət/Qeyri-dövlət</t>
  </si>
  <si>
    <t>4.1.</t>
  </si>
  <si>
    <t xml:space="preserve">Dövlət </t>
  </si>
  <si>
    <t>4.2.</t>
  </si>
  <si>
    <t>Qeyri-dövlət</t>
  </si>
  <si>
    <t>illik, %</t>
  </si>
  <si>
    <t>Orta aylıq əmək haqqı</t>
  </si>
  <si>
    <t xml:space="preserve"> %</t>
  </si>
  <si>
    <t>1.1</t>
  </si>
  <si>
    <t>1.2</t>
  </si>
  <si>
    <t>Neft/qeyri-neft:</t>
  </si>
  <si>
    <t xml:space="preserve">Neft </t>
  </si>
  <si>
    <t>Qeyri-neft</t>
  </si>
  <si>
    <t>Ümumi məşğulluq</t>
  </si>
  <si>
    <t>Artım tempi</t>
  </si>
  <si>
    <t>Neft (muzdlu)</t>
  </si>
  <si>
    <t xml:space="preserve">% </t>
  </si>
  <si>
    <t>Malların ixracı</t>
  </si>
  <si>
    <t>mln USD</t>
  </si>
  <si>
    <t>Neft və qaz</t>
  </si>
  <si>
    <t>Digər sektorlar</t>
  </si>
  <si>
    <t>Malların idxalı</t>
  </si>
  <si>
    <t>2.1</t>
  </si>
  <si>
    <t>2.2</t>
  </si>
  <si>
    <t>Xidmətlərin ixracı</t>
  </si>
  <si>
    <t>Xidmətlərin idxalı</t>
  </si>
  <si>
    <t>4.1</t>
  </si>
  <si>
    <t>4.2</t>
  </si>
  <si>
    <t xml:space="preserve">A. </t>
  </si>
  <si>
    <t>CARİ ƏMƏLİYYATLAR HESABI</t>
  </si>
  <si>
    <t>A.1.</t>
  </si>
  <si>
    <t>XARİCİ TİCARƏT BALANSI</t>
  </si>
  <si>
    <t>Neft-qaz sektoru</t>
  </si>
  <si>
    <t>A2.</t>
  </si>
  <si>
    <t>XİDMƏTLƏR BALANSI</t>
  </si>
  <si>
    <t>A3.</t>
  </si>
  <si>
    <t>İLKİN GƏLİRLƏR</t>
  </si>
  <si>
    <t>A4.</t>
  </si>
  <si>
    <t>TƏKRAR GƏLİRLƏR</t>
  </si>
  <si>
    <t>B</t>
  </si>
  <si>
    <t>KAPİTAL HESABI</t>
  </si>
  <si>
    <t>C.</t>
  </si>
  <si>
    <t>MALİYYƏ HESABI</t>
  </si>
  <si>
    <t>C1.</t>
  </si>
  <si>
    <t>BİRBAŞA İNVESTİSİYALAR</t>
  </si>
  <si>
    <t>C2.</t>
  </si>
  <si>
    <t>NEFT BONUSU</t>
  </si>
  <si>
    <t>C3.</t>
  </si>
  <si>
    <t>PORTFEL İNVESTİSİYALARI</t>
  </si>
  <si>
    <t>C4.</t>
  </si>
  <si>
    <t>TÖRƏMƏ MALİYYƏ ALƏTLƏRİ</t>
  </si>
  <si>
    <t>C5.</t>
  </si>
  <si>
    <t>DİGƏR İNVESTİSİYALAR</t>
  </si>
  <si>
    <t>BALANSLAŞDIRICI  MADDƏLƏR</t>
  </si>
  <si>
    <t>Sənaye</t>
  </si>
  <si>
    <t>Neft və qaz sənayesi</t>
  </si>
  <si>
    <t>Xidmətlərin istehsalı</t>
  </si>
  <si>
    <t>Ticarət, nəqliyyat vasitələrinin təmiri</t>
  </si>
  <si>
    <t>Məhsula və idxala xalis vergilər</t>
  </si>
  <si>
    <t>Bitkiçilik sahəsi</t>
  </si>
  <si>
    <t>Dənli və dənli paxlalılar</t>
  </si>
  <si>
    <t>min ton</t>
  </si>
  <si>
    <t>o cümlədən, buğda</t>
  </si>
  <si>
    <t>o cümlədən, çəltik</t>
  </si>
  <si>
    <t>Tərəvəz</t>
  </si>
  <si>
    <t xml:space="preserve">Bostan </t>
  </si>
  <si>
    <t>Kartof</t>
  </si>
  <si>
    <t>Pambıq</t>
  </si>
  <si>
    <t>Tütün</t>
  </si>
  <si>
    <t>Şəkər çuğunduru</t>
  </si>
  <si>
    <t>Dən üçün günəbaxan</t>
  </si>
  <si>
    <t>Meyvə və giləmeyvə</t>
  </si>
  <si>
    <t>Üzüm</t>
  </si>
  <si>
    <t>Çay yarpağı</t>
  </si>
  <si>
    <t>Heyvandarlıq sahəsi</t>
  </si>
  <si>
    <t>o cümlədən mal əti</t>
  </si>
  <si>
    <t>o cümlədən qoyun əti</t>
  </si>
  <si>
    <t>o cümlədən quş əti</t>
  </si>
  <si>
    <t>Yumurta</t>
  </si>
  <si>
    <t>mln ədəd</t>
  </si>
  <si>
    <t>Süd (fiziki çəkidə)</t>
  </si>
  <si>
    <t>Yun (fiziki çəkidə)</t>
  </si>
  <si>
    <t>Barama (yaş çəkidə)</t>
  </si>
  <si>
    <t>ton</t>
  </si>
  <si>
    <t>İri buynuzlu mal-qara</t>
  </si>
  <si>
    <t>min baş</t>
  </si>
  <si>
    <t>İnək-camış</t>
  </si>
  <si>
    <t>Qoyun və keçilər</t>
  </si>
  <si>
    <t>Donuzlar</t>
  </si>
  <si>
    <t>Quş</t>
  </si>
  <si>
    <t>mln baş</t>
  </si>
  <si>
    <t>Neft hasilatı</t>
  </si>
  <si>
    <t>Qaz hasilatı</t>
  </si>
  <si>
    <t>mln m3</t>
  </si>
  <si>
    <t>əmtəəlik qaz</t>
  </si>
  <si>
    <t>Qızıl filizləri və konsentratları</t>
  </si>
  <si>
    <t>kq</t>
  </si>
  <si>
    <t>Çınqıl, qırmadaş, xırda çay daşı və çaxmaq daşı</t>
  </si>
  <si>
    <t>Bentonit</t>
  </si>
  <si>
    <t>İnşaat üçün əhəngdaşı, alebastr</t>
  </si>
  <si>
    <t>Tikinti qumu</t>
  </si>
  <si>
    <t>Mal əti</t>
  </si>
  <si>
    <t>Quş əti</t>
  </si>
  <si>
    <t>Meyvə və tərəvəz şirələri</t>
  </si>
  <si>
    <t>min dkl</t>
  </si>
  <si>
    <t>Emal edilmiş duru süd</t>
  </si>
  <si>
    <t>Qənd-rafinad və şəkər tozu</t>
  </si>
  <si>
    <t>Kərə yağı</t>
  </si>
  <si>
    <t>Pendir və kəsmik</t>
  </si>
  <si>
    <t>Bitki yağları</t>
  </si>
  <si>
    <t>Un</t>
  </si>
  <si>
    <t>Çörək və çörək-bulka məmulatları</t>
  </si>
  <si>
    <t>Xörək duzu</t>
  </si>
  <si>
    <t>Şampan şərabı</t>
  </si>
  <si>
    <t>Alkoqolsuz içkilər</t>
  </si>
  <si>
    <t>mln. ədəd</t>
  </si>
  <si>
    <t>Kardo və daraqla daranmış pambıq lifi</t>
  </si>
  <si>
    <t>Pərakəndə satış üçün qablaşdırılmış pambıq iplik (tikiş üçün saplardan başqa)</t>
  </si>
  <si>
    <t>Düyünlərlə toxunan xalçalar</t>
  </si>
  <si>
    <t>min m2</t>
  </si>
  <si>
    <t>Kişi və ya oğlanlar üçün trikotaj kostyum və komplektlər</t>
  </si>
  <si>
    <t>Kişi və ya oğlanlar üçün kostyumlar</t>
  </si>
  <si>
    <t>Kişi və oğlanlar üçün kalsonlar və tumanlar</t>
  </si>
  <si>
    <t>İpəkdən və ipək tullantılarından hazırlanan şallar, şərflər, kaşnelər, mantilyalar, duvaqlar</t>
  </si>
  <si>
    <t>Kolqotlar, reytuzlar, corablar</t>
  </si>
  <si>
    <t xml:space="preserve">min cüt </t>
  </si>
  <si>
    <t>Kişi və ya oğlanlar üçün pambıqdan və ya kimyəvi liflərdən hazırlanan  istehsalat və ya peşə komplektləri</t>
  </si>
  <si>
    <t>Kişi və ya oğlanlar üçün paltolar, gödəkçələr, plaşlar və oxşar məmulatlar</t>
  </si>
  <si>
    <t>Qadın və ya qızlar üçün donlar</t>
  </si>
  <si>
    <t>Kişi və ya oğlanlar üçün köynəklər, alt köynəkləri</t>
  </si>
  <si>
    <t>Laklı dəri və saxta laklı təbii dəri: metallaşdırılmış dəri</t>
  </si>
  <si>
    <t>min kv.m</t>
  </si>
  <si>
    <t>Ayaqqabı üçün dəri</t>
  </si>
  <si>
    <t>Üstü dəridən olan kişi küçə ayaqqabısı</t>
  </si>
  <si>
    <t xml:space="preserve">Sair taxta lövhə parket </t>
  </si>
  <si>
    <t>Taxta qapı blokları (qapı çərçivələri və tayları), qapı kandarları</t>
  </si>
  <si>
    <t>ədəd</t>
  </si>
  <si>
    <t>Deşilmiş və ya deşilməmiş büzmələnmiş kağız və karton</t>
  </si>
  <si>
    <t>Kağız əl dəsmalları</t>
  </si>
  <si>
    <t>Sadə tipli çap materiallarından başqa sair çap materialları</t>
  </si>
  <si>
    <t>Kitab və kitabçaların, uşaqlar üçün kitab-şəkillərin və ya şəkil çəkmək üçün kitabların çap edilməsi</t>
  </si>
  <si>
    <t>Neft məhsullarının istehsalı-cəmi</t>
  </si>
  <si>
    <t>Avtobenzinlər</t>
  </si>
  <si>
    <t>Hidrotəmizlənmiş benzin</t>
  </si>
  <si>
    <t>Dizel yanacağı</t>
  </si>
  <si>
    <t>Reaktiv mühərrik yanacağı</t>
  </si>
  <si>
    <t>Soba mazutu</t>
  </si>
  <si>
    <t>Neft bitumu</t>
  </si>
  <si>
    <t>Mühərrik yanacağı</t>
  </si>
  <si>
    <t>Sürtkü yağları</t>
  </si>
  <si>
    <t>Propen (propilen)</t>
  </si>
  <si>
    <t>İzopropil spirti</t>
  </si>
  <si>
    <t>Etilen</t>
  </si>
  <si>
    <t xml:space="preserve">Suda dispersiya və ya həll edilmiş sair boyalar, laklar </t>
  </si>
  <si>
    <t>Karbamid</t>
  </si>
  <si>
    <t xml:space="preserve">Alüminium sulfat və ya barium sulfat </t>
  </si>
  <si>
    <t>Tərkibində digər antibiotiklər olan, pərakəndə satış üçün qablaşdırılan dərmanlar</t>
  </si>
  <si>
    <t xml:space="preserve">min manat </t>
  </si>
  <si>
    <t xml:space="preserve">Tərkibində qarışıq və ya xalis məhsullar olan, digər qruplara daxil edilməyən,   pərakəndə satış üçün qablaşdırılan sair dərmanlar  </t>
  </si>
  <si>
    <t>Bərk polietilen borular, borucuqlar, şlanqlar, qollar</t>
  </si>
  <si>
    <t>Bərk polipropilen borular, borucuqlar, şlanqlar, qollar</t>
  </si>
  <si>
    <t>Digər qruplara daxil edilməyən sair bərk  polietilen borular, borucuqlar, şlanqlar, qollar</t>
  </si>
  <si>
    <t>Plastik tara</t>
  </si>
  <si>
    <t>Butullar, butulkalar və həcmi 2 litrdən çox olmayan oxşar plastik məmulatlar</t>
  </si>
  <si>
    <t>Sement</t>
  </si>
  <si>
    <t xml:space="preserve">min ton </t>
  </si>
  <si>
    <t>Betondan yığma tikinti konstruksiyaları</t>
  </si>
  <si>
    <t>min m3</t>
  </si>
  <si>
    <t>Hörmə üçün hazır olan beton qarışığı</t>
  </si>
  <si>
    <t>Asfalt</t>
  </si>
  <si>
    <t>Tikinti kərpicləri</t>
  </si>
  <si>
    <t>Kağız örtüklü quru mala təbəqələri və tikinti kartonu təbəqələri</t>
  </si>
  <si>
    <t>Tikinti gipsi</t>
  </si>
  <si>
    <t>Vərəqə şüşə</t>
  </si>
  <si>
    <t>Döşəmə, sobalar və divar üçün keramika tavaları və lövhələri</t>
  </si>
  <si>
    <t xml:space="preserve">Yonulmuş/mişarlanmış, üst qatı düz/hamar, digər emala məruz qalan mərmər, travertin, (əhəng tufu), alebastr </t>
  </si>
  <si>
    <t>Qeyri-cins polad külcələr və tikişsiz boruların istehsalı üçün yarımfabrikatlar</t>
  </si>
  <si>
    <t>Tikişsiz boruların istehsalı üçün cins polad külçələri, paslanmayan poladdan başqa</t>
  </si>
  <si>
    <t>Qeyri-cins poladdan dəstələr şəklində deformasiyaya uğradılmış katankalar (girdə çubuklar)</t>
  </si>
  <si>
    <t>Alüminium vərəqə</t>
  </si>
  <si>
    <t>İlkin alüminium</t>
  </si>
  <si>
    <t xml:space="preserve">Qara metallardan yığma tikinti konstruksiyaları </t>
  </si>
  <si>
    <t xml:space="preserve">Təbəqə materialından sair konstruksiyalar  </t>
  </si>
  <si>
    <t>Qara metallardan elektrik izolyasiyası olmayan çoxdamarlı məftil, tros və kanatlar</t>
  </si>
  <si>
    <t>Digər qruplara daxil edilməyən, avtomatik tənzimləmə və idarəetmə  üçün cihaz və aparatlar</t>
  </si>
  <si>
    <t xml:space="preserve">Güc 650 kVA-dən çox olmayan maye dielektrikli transformatorlar </t>
  </si>
  <si>
    <t xml:space="preserve">Güc 650 kVA-dən çox olan, lakin 10000 kVA-dən çox olmayan maye dielektrikli transformatorlar </t>
  </si>
  <si>
    <t>Gücü 10000 kVA-dən çox olan maye dielektrikli transformatorlar</t>
  </si>
  <si>
    <t xml:space="preserve">1000 V-dan çox olmayan gərginlik üçün birləşdirici detalları olan elektrik cərəyan naqilləri </t>
  </si>
  <si>
    <t xml:space="preserve">Məişət soyuducuları </t>
  </si>
  <si>
    <t xml:space="preserve">Müvafiq aparatlarla komplektləş-dirilməyən məmulat üçün paylaşdırıcı   lövhələr, panellər, konsollar, stollar, şkaflar və sair əsaslar  </t>
  </si>
  <si>
    <t>Maye üçün nasosların və maye qaldırıcılarının hissələri</t>
  </si>
  <si>
    <t>Odsöndürənlər</t>
  </si>
  <si>
    <t>Traktorlar</t>
  </si>
  <si>
    <t>Yük avtomobilləri</t>
  </si>
  <si>
    <t>Qoşqular və yarımqoşqular</t>
  </si>
  <si>
    <t>Minik avtomobilləri</t>
  </si>
  <si>
    <t xml:space="preserve">Yol qurğuları və armaturu da daxil edilməklə, yollar üçün avadanlıq və materiallar:   dəmir yolu və tramvay yolları üçün avadanlıq hissələri  </t>
  </si>
  <si>
    <t xml:space="preserve">Dəmir yolu lokomotovlərinin və motorlu vaqonların, motorlu tramvay vaqonlarının  və dəmir yolu nəqliyyatı vasitələrinin bərpa edilməsi </t>
  </si>
  <si>
    <t>Gəmilərin və üzən qurğuların qayırılması</t>
  </si>
  <si>
    <t>Ofis tipli taxta mebellər</t>
  </si>
  <si>
    <t>Mətbəxt üçün ağac mebellər</t>
  </si>
  <si>
    <t>Yataq otağı üçün taxta mebellər</t>
  </si>
  <si>
    <t>Taxta karkaslı oturmaq üçün üz çəkilmiş mebel</t>
  </si>
  <si>
    <t>Gəmilərin, qayıqların və s. üzən vasitələrin (gəzinti və idman gəmilərindən başqa) təmiri</t>
  </si>
  <si>
    <t>QVt.s</t>
  </si>
  <si>
    <t>Qaz zavodlarının qazı (karbonlaşdırma, krekinq, qazlaşdırma və ya qazın və/və ya qaz zavodlarının havasının sadə qarışığı yolu ilə alınan qaz)</t>
  </si>
  <si>
    <t>İstehlakçılara satılan su</t>
  </si>
  <si>
    <t>mln. m3</t>
  </si>
  <si>
    <t>Nəqliyyat və rabitə</t>
  </si>
  <si>
    <t>Nəqliyyat üzrə</t>
  </si>
  <si>
    <t>Nəqliyyat sektorunda yük daşınması - cəmi</t>
  </si>
  <si>
    <t>mln ton</t>
  </si>
  <si>
    <t>Dəmir yolu</t>
  </si>
  <si>
    <t>Avtomobil</t>
  </si>
  <si>
    <t>Dəniz</t>
  </si>
  <si>
    <t>Hava</t>
  </si>
  <si>
    <t>Boru kəməri</t>
  </si>
  <si>
    <t>Neft kəməri</t>
  </si>
  <si>
    <t>BTC üzrə</t>
  </si>
  <si>
    <t>Qaz kəməri</t>
  </si>
  <si>
    <t>CQBK üzrə</t>
  </si>
  <si>
    <t>Nəqliyyat sektorunda yük dövriyyəsi - cəmi</t>
  </si>
  <si>
    <t>mlrd t-km</t>
  </si>
  <si>
    <t>Nəqliyyat sektorunda sərnişin dövriyyəsi</t>
  </si>
  <si>
    <t>mln sərn.-km</t>
  </si>
  <si>
    <t>Avtobus və taksi</t>
  </si>
  <si>
    <t>Metro</t>
  </si>
  <si>
    <t>Rabitə üzrə</t>
  </si>
  <si>
    <t>Mobil telefon abunəçilərinin (nömrələrin) sayı</t>
  </si>
  <si>
    <t>Əsas telefon aparatlarının sayı</t>
  </si>
  <si>
    <t>Əhalinin hər 100 nəfərinə düşən əsas telefon aparatlarının sayı</t>
  </si>
  <si>
    <t>4.3</t>
  </si>
  <si>
    <t>4.4</t>
  </si>
  <si>
    <t>4.5</t>
  </si>
  <si>
    <t>Cari əməliyyatlar hesabı</t>
  </si>
  <si>
    <t>Mal və xidmətlərin ticarət və tədiyə balansına görə idxalının və ixracının əsas göstəriciləri, onun strukturu (tədiyə balansı metodologiyası)</t>
  </si>
  <si>
    <t>Orta illik inflyasiya və yaşayış minimumu</t>
  </si>
  <si>
    <t>Əsas kapitala daxili və xarici investisiyalar (strukturu və real artım sürətləri)</t>
  </si>
  <si>
    <t>Neftin dünya bazarında qiyməti</t>
  </si>
  <si>
    <t>Azərbaycan Respublikasında istehsal olunan əsas məhsul növlərinin sahələr üzrə natural göstəricilərinin proqnozu (o cümlədən aksizli məhsulların növləri üzrə)</t>
  </si>
  <si>
    <t>Ümumi Daxili Məhsulun sahə strukturu</t>
  </si>
  <si>
    <t>Ümumi Daxili Məhsulun istehsal strukturu (onların artım və deflyator indeksləri, ümumi buraxılışı, aralıq istehlakı, əlavə dəyəri)</t>
  </si>
  <si>
    <t>Ət (diri çəkidə)</t>
  </si>
  <si>
    <t>Mis filizləri</t>
  </si>
  <si>
    <t>Təbii suyun təmizlənməsi və boru kəməri ilə bölüşdürülməsi xidmətləri</t>
  </si>
  <si>
    <t xml:space="preserve">Quru qaz </t>
  </si>
  <si>
    <t>Neft koksu</t>
  </si>
  <si>
    <t>Digər qruplara daxil edilməyən doymamış açıq zənсirli karbohidrogenlər</t>
  </si>
  <si>
    <t>Alüminium sulfat və ya barium sulfat</t>
  </si>
  <si>
    <t>Külək və günəşlə işləyən stansiyalarının elektriki</t>
  </si>
  <si>
    <t>Cəmi investisiyalarda xüsusi çəkisi</t>
  </si>
  <si>
    <t>Tündlüyü 45.4% və daha az olan araq</t>
  </si>
  <si>
    <t>Səməni pivəsi</t>
  </si>
  <si>
    <t>Viski, konyak</t>
  </si>
  <si>
    <t>Metanol (metil spirti)</t>
  </si>
  <si>
    <t>Üzüm şərabı və təzə üzümdən
köpüklənən şərab</t>
  </si>
  <si>
    <t>Sənayedə emal olunmuş tütün, tütün ekstraktları və essensiyaları, digər qruplara daxil edilməyən homogenləşdirilmiş və ya bərpa edilmiş tütün</t>
  </si>
  <si>
    <t>Xüsusi çəkisi 0,94-dən az olan xətti polietilen, ilkin formalarda</t>
  </si>
  <si>
    <t>İstilik Elektrik Stansiyalarının (İES) şərti termik elektriki (hasilat xammalı ilə işləyən İES-də istehsal edilən) </t>
  </si>
  <si>
    <t>Ümumi Daxili Məhsul (real artım tempi, deflyatoru, neft-qaz və qeyri neft-qaz sektorunun payı, onların real artım tempi və deflyatoru)</t>
  </si>
  <si>
    <t>Neft-qaz sektoru, ÜDM, bazar qiymətləri ilə</t>
  </si>
  <si>
    <t>Qeyri neft-qaz sektoru, ÜDM, bazar qiymətləri ilə</t>
  </si>
  <si>
    <t>Neft/Qeyri neft-qaz</t>
  </si>
  <si>
    <t>Qeyri neft-qaz sənayesi</t>
  </si>
  <si>
    <t>Tərkibində tütün və ya tütün qarışıqları və onun əvəzediciləri olan siqarlar*</t>
  </si>
  <si>
    <t>Digər ilkin formalarda polipropilen</t>
  </si>
  <si>
    <t>5.1.</t>
  </si>
  <si>
    <t>Əhaliyə göstərilən ödənişli xidmətlər</t>
  </si>
  <si>
    <t>Əhalinin gəlirləri, xərcləri, orta aylıq əməkhaqqı, əhaliyə göstərilən ödənişli xidmətlər, məşğulluq və onların artım sürətləri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</si>
</sst>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</font>
    <font>
      <b/>
      <sz val="9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2"/>
      </patternFill>
    </fill>
    <fill>
      <patternFill patternType="solid">
        <fgColor indexed="11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5" fillId="0" borderId="0"/>
    <xf numFmtId="0" fontId="5" fillId="5" borderId="0" applyNumberFormat="0" applyFont="0" applyBorder="0" applyAlignment="0" applyProtection="0"/>
    <xf numFmtId="0" fontId="5" fillId="6" borderId="0" applyNumberFormat="0" applyFont="0" applyBorder="0" applyAlignment="0" applyProtection="0"/>
    <xf numFmtId="0" fontId="5" fillId="7" borderId="0" applyNumberFormat="0" applyFont="0" applyBorder="0" applyAlignment="0" applyProtection="0"/>
    <xf numFmtId="0" fontId="5" fillId="8" borderId="0" applyNumberFormat="0" applyFont="0" applyBorder="0" applyAlignment="0" applyProtection="0"/>
    <xf numFmtId="0" fontId="5" fillId="9" borderId="0" applyNumberFormat="0" applyFont="0" applyBorder="0" applyAlignment="0" applyProtection="0"/>
    <xf numFmtId="0" fontId="5" fillId="0" borderId="0"/>
    <xf numFmtId="0" fontId="1" fillId="0" borderId="0"/>
  </cellStyleXfs>
  <cellXfs count="259">
    <xf numFmtId="0" fontId="0" fillId="0" borderId="0" xfId="0"/>
    <xf numFmtId="164" fontId="3" fillId="2" borderId="0" xfId="0" applyNumberFormat="1" applyFont="1" applyFill="1" applyAlignment="1">
      <alignment vertical="top"/>
    </xf>
    <xf numFmtId="0" fontId="3" fillId="0" borderId="11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4" fontId="3" fillId="0" borderId="12" xfId="0" applyNumberFormat="1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vertical="top" wrapText="1"/>
    </xf>
    <xf numFmtId="164" fontId="3" fillId="0" borderId="9" xfId="0" applyNumberFormat="1" applyFont="1" applyBorder="1" applyAlignment="1">
      <alignment vertical="top" wrapText="1"/>
    </xf>
    <xf numFmtId="164" fontId="3" fillId="0" borderId="8" xfId="0" applyNumberFormat="1" applyFont="1" applyBorder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49" fontId="3" fillId="0" borderId="11" xfId="0" applyNumberFormat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4" fillId="0" borderId="12" xfId="0" applyNumberFormat="1" applyFont="1" applyBorder="1" applyAlignment="1">
      <alignment vertical="top" wrapText="1"/>
    </xf>
    <xf numFmtId="164" fontId="4" fillId="0" borderId="10" xfId="0" applyNumberFormat="1" applyFont="1" applyBorder="1" applyAlignment="1">
      <alignment vertical="top" wrapText="1"/>
    </xf>
    <xf numFmtId="164" fontId="4" fillId="0" borderId="6" xfId="0" applyNumberFormat="1" applyFont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3" fillId="0" borderId="9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0" fontId="4" fillId="4" borderId="0" xfId="0" applyFont="1" applyFill="1" applyAlignment="1">
      <alignment vertical="top" wrapText="1"/>
    </xf>
    <xf numFmtId="164" fontId="3" fillId="0" borderId="0" xfId="0" applyNumberFormat="1" applyFont="1" applyAlignment="1">
      <alignment vertical="top"/>
    </xf>
    <xf numFmtId="164" fontId="3" fillId="0" borderId="1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164" fontId="4" fillId="0" borderId="12" xfId="0" applyNumberFormat="1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164" fontId="2" fillId="0" borderId="9" xfId="0" applyNumberFormat="1" applyFont="1" applyBorder="1" applyAlignment="1">
      <alignment vertical="top" wrapText="1"/>
    </xf>
    <xf numFmtId="164" fontId="2" fillId="0" borderId="8" xfId="0" applyNumberFormat="1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164" fontId="4" fillId="0" borderId="9" xfId="0" applyNumberFormat="1" applyFont="1" applyBorder="1" applyAlignment="1">
      <alignment vertical="top" wrapText="1"/>
    </xf>
    <xf numFmtId="164" fontId="4" fillId="0" borderId="8" xfId="0" applyNumberFormat="1" applyFont="1" applyBorder="1" applyAlignment="1">
      <alignment vertical="top" wrapText="1"/>
    </xf>
    <xf numFmtId="164" fontId="4" fillId="0" borderId="9" xfId="0" applyNumberFormat="1" applyFont="1" applyBorder="1" applyAlignment="1">
      <alignment vertical="top"/>
    </xf>
    <xf numFmtId="164" fontId="4" fillId="0" borderId="8" xfId="0" applyNumberFormat="1" applyFont="1" applyBorder="1" applyAlignment="1">
      <alignment vertical="top"/>
    </xf>
    <xf numFmtId="164" fontId="4" fillId="0" borderId="11" xfId="0" applyNumberFormat="1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3" fillId="0" borderId="12" xfId="0" applyNumberFormat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164" fontId="3" fillId="0" borderId="9" xfId="0" applyNumberFormat="1" applyFont="1" applyBorder="1" applyAlignment="1">
      <alignment vertical="center" wrapText="1"/>
    </xf>
    <xf numFmtId="164" fontId="3" fillId="0" borderId="8" xfId="0" applyNumberFormat="1" applyFont="1" applyBorder="1" applyAlignment="1">
      <alignment vertical="center" wrapText="1"/>
    </xf>
    <xf numFmtId="49" fontId="3" fillId="0" borderId="11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49" fontId="2" fillId="3" borderId="4" xfId="0" applyNumberFormat="1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164" fontId="2" fillId="3" borderId="10" xfId="0" applyNumberFormat="1" applyFont="1" applyFill="1" applyBorder="1" applyAlignment="1">
      <alignment vertical="center" wrapText="1"/>
    </xf>
    <xf numFmtId="164" fontId="2" fillId="3" borderId="6" xfId="0" applyNumberFormat="1" applyFont="1" applyFill="1" applyBorder="1" applyAlignment="1">
      <alignment vertical="center" wrapText="1"/>
    </xf>
    <xf numFmtId="49" fontId="2" fillId="3" borderId="11" xfId="0" applyNumberFormat="1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64" fontId="2" fillId="3" borderId="12" xfId="0" applyNumberFormat="1" applyFont="1" applyFill="1" applyBorder="1" applyAlignment="1">
      <alignment vertical="center" wrapText="1"/>
    </xf>
    <xf numFmtId="164" fontId="3" fillId="0" borderId="11" xfId="0" applyNumberFormat="1" applyFont="1" applyBorder="1" applyAlignment="1">
      <alignment vertical="top" wrapText="1"/>
    </xf>
    <xf numFmtId="164" fontId="3" fillId="0" borderId="7" xfId="0" applyNumberFormat="1" applyFont="1" applyBorder="1" applyAlignment="1">
      <alignment vertical="top" wrapText="1"/>
    </xf>
    <xf numFmtId="164" fontId="2" fillId="3" borderId="4" xfId="0" applyNumberFormat="1" applyFont="1" applyFill="1" applyBorder="1" applyAlignment="1">
      <alignment vertical="center" wrapText="1"/>
    </xf>
    <xf numFmtId="164" fontId="3" fillId="0" borderId="11" xfId="0" applyNumberFormat="1" applyFont="1" applyBorder="1" applyAlignment="1">
      <alignment vertical="center" wrapText="1"/>
    </xf>
    <xf numFmtId="164" fontId="3" fillId="0" borderId="7" xfId="0" applyNumberFormat="1" applyFont="1" applyBorder="1" applyAlignment="1">
      <alignment vertical="center" wrapText="1"/>
    </xf>
    <xf numFmtId="164" fontId="2" fillId="3" borderId="11" xfId="0" applyNumberFormat="1" applyFont="1" applyFill="1" applyBorder="1" applyAlignment="1">
      <alignment vertical="center" wrapText="1"/>
    </xf>
    <xf numFmtId="164" fontId="4" fillId="0" borderId="4" xfId="0" applyNumberFormat="1" applyFont="1" applyBorder="1" applyAlignment="1">
      <alignment vertical="top" wrapText="1"/>
    </xf>
    <xf numFmtId="49" fontId="3" fillId="0" borderId="15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vertical="top" wrapText="1"/>
    </xf>
    <xf numFmtId="49" fontId="4" fillId="0" borderId="13" xfId="0" applyNumberFormat="1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164" fontId="2" fillId="0" borderId="7" xfId="0" applyNumberFormat="1" applyFont="1" applyBorder="1" applyAlignment="1">
      <alignment vertical="top" wrapText="1"/>
    </xf>
    <xf numFmtId="164" fontId="4" fillId="0" borderId="7" xfId="0" applyNumberFormat="1" applyFont="1" applyBorder="1" applyAlignment="1">
      <alignment vertical="top" wrapText="1"/>
    </xf>
    <xf numFmtId="164" fontId="4" fillId="0" borderId="11" xfId="0" applyNumberFormat="1" applyFont="1" applyBorder="1" applyAlignment="1">
      <alignment vertical="top"/>
    </xf>
    <xf numFmtId="164" fontId="3" fillId="0" borderId="11" xfId="0" applyNumberFormat="1" applyFont="1" applyBorder="1" applyAlignment="1">
      <alignment vertical="top"/>
    </xf>
    <xf numFmtId="164" fontId="4" fillId="0" borderId="7" xfId="0" applyNumberFormat="1" applyFont="1" applyBorder="1" applyAlignment="1">
      <alignment vertical="top"/>
    </xf>
    <xf numFmtId="2" fontId="3" fillId="0" borderId="7" xfId="0" applyNumberFormat="1" applyFont="1" applyBorder="1" applyAlignment="1">
      <alignment vertical="top" wrapText="1"/>
    </xf>
    <xf numFmtId="1" fontId="3" fillId="0" borderId="0" xfId="0" applyNumberFormat="1" applyFont="1" applyAlignment="1">
      <alignment vertical="top" wrapText="1"/>
    </xf>
    <xf numFmtId="165" fontId="3" fillId="0" borderId="7" xfId="0" applyNumberFormat="1" applyFont="1" applyBorder="1" applyAlignment="1">
      <alignment vertical="center" wrapText="1"/>
    </xf>
    <xf numFmtId="165" fontId="3" fillId="0" borderId="9" xfId="0" applyNumberFormat="1" applyFont="1" applyBorder="1" applyAlignment="1">
      <alignment vertical="center" wrapText="1"/>
    </xf>
    <xf numFmtId="165" fontId="3" fillId="0" borderId="8" xfId="0" applyNumberFormat="1" applyFont="1" applyBorder="1" applyAlignment="1">
      <alignment vertical="center" wrapText="1"/>
    </xf>
    <xf numFmtId="164" fontId="2" fillId="3" borderId="7" xfId="0" applyNumberFormat="1" applyFont="1" applyFill="1" applyBorder="1" applyAlignment="1">
      <alignment vertical="center" wrapText="1"/>
    </xf>
    <xf numFmtId="164" fontId="2" fillId="3" borderId="9" xfId="0" applyNumberFormat="1" applyFont="1" applyFill="1" applyBorder="1" applyAlignment="1">
      <alignment vertical="center" wrapText="1"/>
    </xf>
    <xf numFmtId="164" fontId="2" fillId="3" borderId="8" xfId="0" applyNumberFormat="1" applyFont="1" applyFill="1" applyBorder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164" fontId="3" fillId="2" borderId="2" xfId="0" applyNumberFormat="1" applyFont="1" applyFill="1" applyBorder="1" applyAlignment="1">
      <alignment vertical="top"/>
    </xf>
    <xf numFmtId="2" fontId="3" fillId="0" borderId="9" xfId="0" applyNumberFormat="1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165" fontId="3" fillId="0" borderId="12" xfId="0" applyNumberFormat="1" applyFont="1" applyBorder="1" applyAlignment="1">
      <alignment vertical="center" wrapText="1"/>
    </xf>
    <xf numFmtId="164" fontId="2" fillId="0" borderId="12" xfId="0" applyNumberFormat="1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49" fontId="4" fillId="0" borderId="14" xfId="0" applyNumberFormat="1" applyFont="1" applyBorder="1" applyAlignment="1">
      <alignment vertical="top" wrapText="1"/>
    </xf>
    <xf numFmtId="49" fontId="2" fillId="0" borderId="14" xfId="0" applyNumberFormat="1" applyFont="1" applyBorder="1" applyAlignment="1">
      <alignment vertical="top" wrapText="1"/>
    </xf>
    <xf numFmtId="164" fontId="3" fillId="0" borderId="4" xfId="0" applyNumberFormat="1" applyFont="1" applyBorder="1" applyAlignment="1">
      <alignment vertical="top" wrapText="1"/>
    </xf>
    <xf numFmtId="164" fontId="3" fillId="0" borderId="6" xfId="0" applyNumberFormat="1" applyFont="1" applyBorder="1" applyAlignment="1">
      <alignment vertical="top" wrapText="1"/>
    </xf>
    <xf numFmtId="49" fontId="3" fillId="0" borderId="13" xfId="0" applyNumberFormat="1" applyFont="1" applyBorder="1" applyAlignment="1">
      <alignment vertical="top" wrapText="1"/>
    </xf>
    <xf numFmtId="164" fontId="3" fillId="0" borderId="10" xfId="0" applyNumberFormat="1" applyFont="1" applyBorder="1" applyAlignment="1">
      <alignment vertical="top" wrapText="1"/>
    </xf>
    <xf numFmtId="165" fontId="3" fillId="0" borderId="0" xfId="0" applyNumberFormat="1" applyFont="1" applyAlignment="1">
      <alignment vertical="center" wrapText="1"/>
    </xf>
    <xf numFmtId="1" fontId="3" fillId="0" borderId="12" xfId="0" applyNumberFormat="1" applyFont="1" applyBorder="1" applyAlignment="1">
      <alignment vertical="top" wrapText="1"/>
    </xf>
    <xf numFmtId="165" fontId="3" fillId="0" borderId="11" xfId="0" applyNumberFormat="1" applyFont="1" applyBorder="1" applyAlignment="1">
      <alignment vertical="center" wrapText="1"/>
    </xf>
    <xf numFmtId="164" fontId="2" fillId="0" borderId="11" xfId="0" applyNumberFormat="1" applyFont="1" applyBorder="1" applyAlignment="1">
      <alignment vertical="top" wrapText="1"/>
    </xf>
    <xf numFmtId="2" fontId="3" fillId="0" borderId="11" xfId="0" applyNumberFormat="1" applyFont="1" applyBorder="1" applyAlignment="1">
      <alignment vertical="top" wrapText="1"/>
    </xf>
    <xf numFmtId="49" fontId="2" fillId="3" borderId="7" xfId="0" applyNumberFormat="1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12" borderId="7" xfId="0" applyFont="1" applyFill="1" applyBorder="1" applyAlignment="1">
      <alignment horizontal="center" vertical="top" wrapText="1"/>
    </xf>
    <xf numFmtId="0" fontId="2" fillId="12" borderId="9" xfId="0" applyFont="1" applyFill="1" applyBorder="1" applyAlignment="1">
      <alignment horizontal="center" vertical="top" wrapText="1"/>
    </xf>
    <xf numFmtId="49" fontId="2" fillId="11" borderId="4" xfId="0" applyNumberFormat="1" applyFont="1" applyFill="1" applyBorder="1" applyAlignment="1">
      <alignment vertical="top"/>
    </xf>
    <xf numFmtId="0" fontId="2" fillId="11" borderId="10" xfId="0" applyFont="1" applyFill="1" applyBorder="1" applyAlignment="1">
      <alignment vertical="top" wrapText="1"/>
    </xf>
    <xf numFmtId="164" fontId="2" fillId="11" borderId="11" xfId="0" applyNumberFormat="1" applyFont="1" applyFill="1" applyBorder="1" applyAlignment="1">
      <alignment vertical="top"/>
    </xf>
    <xf numFmtId="164" fontId="2" fillId="11" borderId="0" xfId="0" applyNumberFormat="1" applyFont="1" applyFill="1" applyAlignment="1">
      <alignment vertical="top"/>
    </xf>
    <xf numFmtId="164" fontId="2" fillId="11" borderId="12" xfId="0" applyNumberFormat="1" applyFont="1" applyFill="1" applyBorder="1" applyAlignment="1">
      <alignment vertical="top"/>
    </xf>
    <xf numFmtId="0" fontId="2" fillId="11" borderId="2" xfId="0" applyFont="1" applyFill="1" applyBorder="1" applyAlignment="1">
      <alignment vertical="top" wrapText="1"/>
    </xf>
    <xf numFmtId="164" fontId="2" fillId="11" borderId="1" xfId="0" applyNumberFormat="1" applyFont="1" applyFill="1" applyBorder="1" applyAlignment="1">
      <alignment vertical="top" wrapText="1"/>
    </xf>
    <xf numFmtId="164" fontId="2" fillId="11" borderId="2" xfId="0" applyNumberFormat="1" applyFont="1" applyFill="1" applyBorder="1" applyAlignment="1">
      <alignment vertical="top" wrapText="1"/>
    </xf>
    <xf numFmtId="164" fontId="2" fillId="11" borderId="3" xfId="0" applyNumberFormat="1" applyFont="1" applyFill="1" applyBorder="1" applyAlignment="1">
      <alignment vertical="top" wrapText="1"/>
    </xf>
    <xf numFmtId="49" fontId="2" fillId="11" borderId="4" xfId="0" applyNumberFormat="1" applyFont="1" applyFill="1" applyBorder="1" applyAlignment="1">
      <alignment vertical="top" wrapText="1"/>
    </xf>
    <xf numFmtId="0" fontId="2" fillId="11" borderId="13" xfId="0" applyFont="1" applyFill="1" applyBorder="1" applyAlignment="1">
      <alignment vertical="top" wrapText="1"/>
    </xf>
    <xf numFmtId="164" fontId="2" fillId="11" borderId="4" xfId="0" applyNumberFormat="1" applyFont="1" applyFill="1" applyBorder="1" applyAlignment="1">
      <alignment vertical="top" wrapText="1"/>
    </xf>
    <xf numFmtId="164" fontId="2" fillId="11" borderId="10" xfId="0" applyNumberFormat="1" applyFont="1" applyFill="1" applyBorder="1" applyAlignment="1">
      <alignment vertical="top" wrapText="1"/>
    </xf>
    <xf numFmtId="164" fontId="2" fillId="11" borderId="11" xfId="0" applyNumberFormat="1" applyFont="1" applyFill="1" applyBorder="1" applyAlignment="1">
      <alignment vertical="top" wrapText="1"/>
    </xf>
    <xf numFmtId="164" fontId="2" fillId="11" borderId="6" xfId="0" applyNumberFormat="1" applyFont="1" applyFill="1" applyBorder="1" applyAlignment="1">
      <alignment vertical="top" wrapText="1"/>
    </xf>
    <xf numFmtId="49" fontId="2" fillId="11" borderId="13" xfId="0" applyNumberFormat="1" applyFont="1" applyFill="1" applyBorder="1" applyAlignment="1">
      <alignment vertical="top" wrapText="1"/>
    </xf>
    <xf numFmtId="164" fontId="2" fillId="11" borderId="0" xfId="0" applyNumberFormat="1" applyFont="1" applyFill="1" applyAlignment="1">
      <alignment vertical="top" wrapText="1"/>
    </xf>
    <xf numFmtId="164" fontId="2" fillId="11" borderId="12" xfId="0" applyNumberFormat="1" applyFont="1" applyFill="1" applyBorder="1" applyAlignment="1">
      <alignment vertical="top" wrapText="1"/>
    </xf>
    <xf numFmtId="49" fontId="2" fillId="11" borderId="10" xfId="0" applyNumberFormat="1" applyFont="1" applyFill="1" applyBorder="1" applyAlignment="1">
      <alignment vertical="top" wrapText="1"/>
    </xf>
    <xf numFmtId="49" fontId="2" fillId="11" borderId="15" xfId="0" applyNumberFormat="1" applyFont="1" applyFill="1" applyBorder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2" fillId="11" borderId="15" xfId="0" applyFont="1" applyFill="1" applyBorder="1" applyAlignment="1">
      <alignment vertical="top" wrapText="1"/>
    </xf>
    <xf numFmtId="49" fontId="4" fillId="11" borderId="15" xfId="0" applyNumberFormat="1" applyFont="1" applyFill="1" applyBorder="1" applyAlignment="1">
      <alignment vertical="top" wrapText="1"/>
    </xf>
    <xf numFmtId="164" fontId="4" fillId="11" borderId="11" xfId="0" applyNumberFormat="1" applyFont="1" applyFill="1" applyBorder="1" applyAlignment="1">
      <alignment vertical="top" wrapText="1"/>
    </xf>
    <xf numFmtId="164" fontId="4" fillId="11" borderId="0" xfId="0" applyNumberFormat="1" applyFont="1" applyFill="1" applyAlignment="1">
      <alignment vertical="top" wrapText="1"/>
    </xf>
    <xf numFmtId="164" fontId="4" fillId="11" borderId="12" xfId="0" applyNumberFormat="1" applyFont="1" applyFill="1" applyBorder="1" applyAlignment="1">
      <alignment vertical="top" wrapText="1"/>
    </xf>
    <xf numFmtId="2" fontId="2" fillId="11" borderId="13" xfId="0" applyNumberFormat="1" applyFont="1" applyFill="1" applyBorder="1" applyAlignment="1">
      <alignment vertical="top" wrapText="1"/>
    </xf>
    <xf numFmtId="49" fontId="2" fillId="11" borderId="13" xfId="0" applyNumberFormat="1" applyFont="1" applyFill="1" applyBorder="1" applyAlignment="1">
      <alignment horizontal="left" vertical="top" wrapText="1"/>
    </xf>
    <xf numFmtId="49" fontId="2" fillId="11" borderId="0" xfId="0" applyNumberFormat="1" applyFont="1" applyFill="1" applyAlignment="1">
      <alignment vertical="top" wrapText="1"/>
    </xf>
    <xf numFmtId="49" fontId="2" fillId="11" borderId="5" xfId="0" applyNumberFormat="1" applyFont="1" applyFill="1" applyBorder="1" applyAlignment="1">
      <alignment vertical="top" wrapText="1"/>
    </xf>
    <xf numFmtId="49" fontId="2" fillId="11" borderId="14" xfId="0" applyNumberFormat="1" applyFont="1" applyFill="1" applyBorder="1" applyAlignment="1">
      <alignment vertical="top" wrapText="1"/>
    </xf>
    <xf numFmtId="0" fontId="2" fillId="11" borderId="9" xfId="0" applyFont="1" applyFill="1" applyBorder="1" applyAlignment="1">
      <alignment vertical="top" wrapText="1"/>
    </xf>
    <xf numFmtId="164" fontId="2" fillId="11" borderId="7" xfId="0" applyNumberFormat="1" applyFont="1" applyFill="1" applyBorder="1" applyAlignment="1">
      <alignment vertical="top" wrapText="1"/>
    </xf>
    <xf numFmtId="164" fontId="2" fillId="11" borderId="9" xfId="0" applyNumberFormat="1" applyFont="1" applyFill="1" applyBorder="1" applyAlignment="1">
      <alignment vertical="top" wrapText="1"/>
    </xf>
    <xf numFmtId="164" fontId="2" fillId="11" borderId="8" xfId="0" applyNumberFormat="1" applyFont="1" applyFill="1" applyBorder="1" applyAlignment="1">
      <alignment vertical="top" wrapText="1"/>
    </xf>
    <xf numFmtId="0" fontId="4" fillId="11" borderId="0" xfId="0" applyFont="1" applyFill="1" applyAlignment="1">
      <alignment vertical="top" wrapText="1"/>
    </xf>
    <xf numFmtId="164" fontId="4" fillId="11" borderId="11" xfId="0" applyNumberFormat="1" applyFont="1" applyFill="1" applyBorder="1" applyAlignment="1">
      <alignment vertical="top"/>
    </xf>
    <xf numFmtId="164" fontId="4" fillId="11" borderId="0" xfId="0" applyNumberFormat="1" applyFont="1" applyFill="1" applyAlignment="1">
      <alignment vertical="top"/>
    </xf>
    <xf numFmtId="164" fontId="4" fillId="11" borderId="12" xfId="0" applyNumberFormat="1" applyFont="1" applyFill="1" applyBorder="1" applyAlignment="1">
      <alignment vertical="top"/>
    </xf>
    <xf numFmtId="1" fontId="4" fillId="11" borderId="11" xfId="0" applyNumberFormat="1" applyFont="1" applyFill="1" applyBorder="1" applyAlignment="1">
      <alignment vertical="top"/>
    </xf>
    <xf numFmtId="1" fontId="4" fillId="11" borderId="0" xfId="0" applyNumberFormat="1" applyFont="1" applyFill="1" applyAlignment="1">
      <alignment vertical="top"/>
    </xf>
    <xf numFmtId="1" fontId="3" fillId="0" borderId="9" xfId="0" applyNumberFormat="1" applyFont="1" applyBorder="1" applyAlignment="1">
      <alignment vertical="top" wrapText="1"/>
    </xf>
    <xf numFmtId="1" fontId="3" fillId="0" borderId="8" xfId="0" applyNumberFormat="1" applyFont="1" applyBorder="1" applyAlignment="1">
      <alignment vertical="top" wrapText="1"/>
    </xf>
    <xf numFmtId="1" fontId="3" fillId="0" borderId="11" xfId="0" applyNumberFormat="1" applyFont="1" applyBorder="1" applyAlignment="1">
      <alignment vertical="top" wrapText="1"/>
    </xf>
    <xf numFmtId="1" fontId="3" fillId="0" borderId="7" xfId="0" applyNumberFormat="1" applyFont="1" applyBorder="1" applyAlignment="1">
      <alignment vertical="top" wrapText="1"/>
    </xf>
    <xf numFmtId="0" fontId="2" fillId="11" borderId="13" xfId="0" applyFont="1" applyFill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2" fillId="11" borderId="5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64" fontId="2" fillId="3" borderId="15" xfId="0" applyNumberFormat="1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11" borderId="15" xfId="0" applyNumberFormat="1" applyFont="1" applyFill="1" applyBorder="1" applyAlignment="1">
      <alignment horizontal="center" vertical="top" wrapText="1"/>
    </xf>
    <xf numFmtId="49" fontId="3" fillId="0" borderId="15" xfId="0" applyNumberFormat="1" applyFont="1" applyBorder="1" applyAlignment="1">
      <alignment horizontal="center" vertical="top" wrapText="1"/>
    </xf>
    <xf numFmtId="49" fontId="2" fillId="11" borderId="13" xfId="0" applyNumberFormat="1" applyFont="1" applyFill="1" applyBorder="1" applyAlignment="1">
      <alignment horizontal="center" vertical="top" wrapText="1"/>
    </xf>
    <xf numFmtId="49" fontId="3" fillId="0" borderId="14" xfId="0" applyNumberFormat="1" applyFont="1" applyBorder="1" applyAlignment="1">
      <alignment horizontal="center" vertical="top" wrapText="1"/>
    </xf>
    <xf numFmtId="49" fontId="4" fillId="0" borderId="15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center" vertical="top" wrapText="1"/>
    </xf>
    <xf numFmtId="0" fontId="4" fillId="11" borderId="15" xfId="0" applyFont="1" applyFill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11" borderId="15" xfId="0" applyFont="1" applyFill="1" applyBorder="1" applyAlignment="1">
      <alignment horizontal="center" vertical="top" wrapText="1"/>
    </xf>
    <xf numFmtId="0" fontId="2" fillId="11" borderId="14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164" fontId="4" fillId="0" borderId="12" xfId="0" applyNumberFormat="1" applyFont="1" applyBorder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9" fontId="4" fillId="11" borderId="13" xfId="0" applyNumberFormat="1" applyFont="1" applyFill="1" applyBorder="1" applyAlignment="1">
      <alignment vertical="top" wrapText="1"/>
    </xf>
    <xf numFmtId="0" fontId="4" fillId="11" borderId="13" xfId="0" applyFont="1" applyFill="1" applyBorder="1" applyAlignment="1">
      <alignment horizontal="center" vertical="top" wrapText="1"/>
    </xf>
    <xf numFmtId="164" fontId="4" fillId="11" borderId="4" xfId="0" applyNumberFormat="1" applyFont="1" applyFill="1" applyBorder="1" applyAlignment="1">
      <alignment vertical="top" wrapText="1"/>
    </xf>
    <xf numFmtId="164" fontId="4" fillId="11" borderId="10" xfId="0" applyNumberFormat="1" applyFont="1" applyFill="1" applyBorder="1" applyAlignment="1">
      <alignment vertical="top" wrapText="1"/>
    </xf>
    <xf numFmtId="164" fontId="4" fillId="11" borderId="6" xfId="0" applyNumberFormat="1" applyFont="1" applyFill="1" applyBorder="1" applyAlignment="1">
      <alignment vertical="top" wrapText="1"/>
    </xf>
    <xf numFmtId="164" fontId="2" fillId="0" borderId="10" xfId="0" applyNumberFormat="1" applyFont="1" applyBorder="1" applyAlignment="1">
      <alignment vertical="top" wrapText="1"/>
    </xf>
    <xf numFmtId="2" fontId="2" fillId="11" borderId="4" xfId="0" applyNumberFormat="1" applyFont="1" applyFill="1" applyBorder="1" applyAlignment="1">
      <alignment vertical="top" wrapText="1"/>
    </xf>
    <xf numFmtId="0" fontId="2" fillId="11" borderId="4" xfId="0" applyFont="1" applyFill="1" applyBorder="1" applyAlignment="1">
      <alignment vertical="top" wrapText="1"/>
    </xf>
    <xf numFmtId="0" fontId="4" fillId="11" borderId="11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 indent="1"/>
    </xf>
    <xf numFmtId="2" fontId="4" fillId="11" borderId="11" xfId="0" applyNumberFormat="1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2" fontId="3" fillId="0" borderId="11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11" borderId="11" xfId="0" applyFont="1" applyFill="1" applyBorder="1" applyAlignment="1">
      <alignment vertical="top" wrapText="1"/>
    </xf>
    <xf numFmtId="49" fontId="4" fillId="11" borderId="11" xfId="0" applyNumberFormat="1" applyFont="1" applyFill="1" applyBorder="1" applyAlignment="1">
      <alignment vertical="top" wrapText="1"/>
    </xf>
    <xf numFmtId="2" fontId="4" fillId="11" borderId="4" xfId="0" applyNumberFormat="1" applyFont="1" applyFill="1" applyBorder="1" applyAlignment="1">
      <alignment vertical="top" wrapText="1"/>
    </xf>
    <xf numFmtId="0" fontId="3" fillId="0" borderId="7" xfId="0" applyFont="1" applyBorder="1" applyAlignment="1">
      <alignment horizontal="left" vertical="top" wrapText="1" indent="1"/>
    </xf>
    <xf numFmtId="0" fontId="4" fillId="0" borderId="11" xfId="0" applyFont="1" applyBorder="1" applyAlignment="1">
      <alignment vertical="top" wrapText="1"/>
    </xf>
    <xf numFmtId="0" fontId="3" fillId="0" borderId="11" xfId="0" applyFont="1" applyBorder="1" applyAlignment="1">
      <alignment horizontal="left" vertical="top" wrapText="1" indent="2"/>
    </xf>
    <xf numFmtId="0" fontId="4" fillId="0" borderId="7" xfId="0" applyFont="1" applyBorder="1" applyAlignment="1">
      <alignment vertical="top" wrapText="1"/>
    </xf>
    <xf numFmtId="0" fontId="2" fillId="11" borderId="4" xfId="0" applyFont="1" applyFill="1" applyBorder="1" applyAlignment="1">
      <alignment horizontal="center" vertical="top" wrapText="1"/>
    </xf>
    <xf numFmtId="0" fontId="2" fillId="11" borderId="10" xfId="0" applyFont="1" applyFill="1" applyBorder="1" applyAlignment="1">
      <alignment horizontal="center" vertical="top" wrapText="1"/>
    </xf>
    <xf numFmtId="0" fontId="2" fillId="11" borderId="6" xfId="0" applyFont="1" applyFill="1" applyBorder="1" applyAlignment="1">
      <alignment horizontal="center" vertical="top" wrapText="1"/>
    </xf>
    <xf numFmtId="49" fontId="4" fillId="0" borderId="4" xfId="0" applyNumberFormat="1" applyFont="1" applyBorder="1" applyAlignment="1">
      <alignment vertical="top" wrapText="1"/>
    </xf>
    <xf numFmtId="0" fontId="2" fillId="12" borderId="8" xfId="0" applyFont="1" applyFill="1" applyBorder="1" applyAlignment="1">
      <alignment horizontal="center" vertical="top" wrapText="1"/>
    </xf>
    <xf numFmtId="164" fontId="2" fillId="0" borderId="4" xfId="0" applyNumberFormat="1" applyFont="1" applyBorder="1" applyAlignment="1">
      <alignment vertical="top" wrapText="1"/>
    </xf>
    <xf numFmtId="164" fontId="4" fillId="0" borderId="11" xfId="0" applyNumberFormat="1" applyFont="1" applyBorder="1" applyAlignment="1">
      <alignment vertical="center" wrapText="1"/>
    </xf>
    <xf numFmtId="49" fontId="4" fillId="11" borderId="14" xfId="0" applyNumberFormat="1" applyFont="1" applyFill="1" applyBorder="1" applyAlignment="1">
      <alignment vertical="top" wrapText="1"/>
    </xf>
    <xf numFmtId="0" fontId="4" fillId="11" borderId="9" xfId="0" applyFont="1" applyFill="1" applyBorder="1" applyAlignment="1">
      <alignment vertical="top" wrapText="1"/>
    </xf>
    <xf numFmtId="0" fontId="4" fillId="11" borderId="14" xfId="0" applyFont="1" applyFill="1" applyBorder="1" applyAlignment="1">
      <alignment horizontal="center" vertical="top" wrapText="1"/>
    </xf>
    <xf numFmtId="164" fontId="4" fillId="11" borderId="7" xfId="0" applyNumberFormat="1" applyFont="1" applyFill="1" applyBorder="1" applyAlignment="1">
      <alignment vertical="top"/>
    </xf>
    <xf numFmtId="164" fontId="4" fillId="11" borderId="9" xfId="0" applyNumberFormat="1" applyFont="1" applyFill="1" applyBorder="1" applyAlignment="1">
      <alignment vertical="top"/>
    </xf>
    <xf numFmtId="164" fontId="4" fillId="11" borderId="8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0" xfId="0" applyFont="1" applyFill="1" applyAlignment="1">
      <alignment horizontal="center" vertical="top" wrapText="1"/>
    </xf>
    <xf numFmtId="164" fontId="2" fillId="0" borderId="1" xfId="0" applyNumberFormat="1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164" fontId="2" fillId="0" borderId="3" xfId="0" applyNumberFormat="1" applyFont="1" applyBorder="1" applyAlignment="1">
      <alignment vertical="top" wrapText="1"/>
    </xf>
    <xf numFmtId="164" fontId="2" fillId="11" borderId="6" xfId="0" applyNumberFormat="1" applyFont="1" applyFill="1" applyBorder="1" applyAlignment="1">
      <alignment vertical="top"/>
    </xf>
    <xf numFmtId="49" fontId="2" fillId="0" borderId="10" xfId="0" applyNumberFormat="1" applyFont="1" applyBorder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164" fontId="2" fillId="0" borderId="6" xfId="0" applyNumberFormat="1" applyFont="1" applyBorder="1" applyAlignment="1">
      <alignment vertical="top" wrapText="1"/>
    </xf>
    <xf numFmtId="164" fontId="2" fillId="11" borderId="10" xfId="0" applyNumberFormat="1" applyFont="1" applyFill="1" applyBorder="1" applyAlignment="1">
      <alignment vertical="top"/>
    </xf>
    <xf numFmtId="0" fontId="2" fillId="12" borderId="6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0" fontId="2" fillId="12" borderId="10" xfId="0" applyFont="1" applyFill="1" applyBorder="1" applyAlignment="1">
      <alignment horizontal="center" vertical="top" wrapText="1"/>
    </xf>
    <xf numFmtId="0" fontId="2" fillId="10" borderId="0" xfId="0" applyFont="1" applyFill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vertical="center" wrapText="1"/>
    </xf>
    <xf numFmtId="0" fontId="2" fillId="12" borderId="4" xfId="0" applyFont="1" applyFill="1" applyBorder="1" applyAlignment="1">
      <alignment horizontal="center" vertical="top" wrapText="1"/>
    </xf>
    <xf numFmtId="0" fontId="2" fillId="12" borderId="0" xfId="0" applyFont="1" applyFill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49" fontId="2" fillId="12" borderId="4" xfId="0" applyNumberFormat="1" applyFont="1" applyFill="1" applyBorder="1" applyAlignment="1">
      <alignment vertical="center" wrapText="1"/>
    </xf>
    <xf numFmtId="49" fontId="2" fillId="12" borderId="7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49" fontId="2" fillId="12" borderId="13" xfId="0" applyNumberFormat="1" applyFont="1" applyFill="1" applyBorder="1" applyAlignment="1">
      <alignment vertical="center" wrapText="1"/>
    </xf>
    <xf numFmtId="49" fontId="2" fillId="12" borderId="14" xfId="0" applyNumberFormat="1" applyFont="1" applyFill="1" applyBorder="1" applyAlignment="1">
      <alignment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49" fontId="7" fillId="0" borderId="10" xfId="0" applyNumberFormat="1" applyFont="1" applyBorder="1" applyAlignment="1">
      <alignment horizontal="left" vertical="top" wrapText="1"/>
    </xf>
  </cellXfs>
  <cellStyles count="9">
    <cellStyle name="=C:\WINNT35\SYSTEM32\COMMAND.COM" xfId="1" xr:uid="{00000000-0005-0000-0000-000000000000}"/>
    <cellStyle name="Normal" xfId="0" builtinId="0"/>
    <cellStyle name="XL3 Blue" xfId="2" xr:uid="{00000000-0005-0000-0000-000001000000}"/>
    <cellStyle name="XL3 Green" xfId="3" xr:uid="{00000000-0005-0000-0000-000002000000}"/>
    <cellStyle name="XL3 Orange" xfId="4" xr:uid="{00000000-0005-0000-0000-000003000000}"/>
    <cellStyle name="XL3 Red" xfId="5" xr:uid="{00000000-0005-0000-0000-000004000000}"/>
    <cellStyle name="XL3 Yellow" xfId="6" xr:uid="{00000000-0005-0000-0000-000005000000}"/>
    <cellStyle name="Обычный 2" xfId="7" xr:uid="{00000000-0005-0000-0000-000007000000}"/>
    <cellStyle name="Обычный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E%20SN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E%20SOCI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E%20AGR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OE%20OI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NDUST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OE%20T&amp;C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OE%20INF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OE%20B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GDP-GNDI"/>
      <sheetName val="ÜDM xərc metodu"/>
      <sheetName val="xerc metodu"/>
      <sheetName val="ÜDM sahələr üzrə"/>
      <sheetName val="sosial və digər xidmətlər"/>
      <sheetName val="Sahələr_deflyator"/>
      <sheetName val="Investisiya"/>
      <sheetName val="Inv_new"/>
      <sheetName val="emek mehsuldarligi"/>
      <sheetName val="emek mehsuldarligi (1)"/>
      <sheetName val="əməkhaqqı"/>
      <sheetName val="eq"/>
      <sheetName val="eq2"/>
    </sheetNames>
    <sheetDataSet>
      <sheetData sheetId="0">
        <row r="5">
          <cell r="AC5">
            <v>71.530797199115113</v>
          </cell>
          <cell r="AD5">
            <v>64.03</v>
          </cell>
          <cell r="AE5">
            <v>42.3</v>
          </cell>
          <cell r="AF5">
            <v>70.44</v>
          </cell>
          <cell r="AG5">
            <v>99.82</v>
          </cell>
          <cell r="AH5">
            <v>82.62</v>
          </cell>
          <cell r="AI5">
            <v>80.7</v>
          </cell>
          <cell r="AJ5">
            <v>70</v>
          </cell>
          <cell r="AK5">
            <v>65</v>
          </cell>
          <cell r="AL5">
            <v>65</v>
          </cell>
          <cell r="AM5">
            <v>65</v>
          </cell>
          <cell r="AN5">
            <v>65</v>
          </cell>
          <cell r="AO5">
            <v>65</v>
          </cell>
        </row>
      </sheetData>
      <sheetData sheetId="1"/>
      <sheetData sheetId="2"/>
      <sheetData sheetId="3"/>
      <sheetData sheetId="4">
        <row r="5">
          <cell r="AC5">
            <v>80092</v>
          </cell>
          <cell r="AD5">
            <v>81896.2</v>
          </cell>
          <cell r="AE5">
            <v>72578.099999999991</v>
          </cell>
          <cell r="AF5">
            <v>93203.200000000012</v>
          </cell>
          <cell r="AG5">
            <v>133972.67499999999</v>
          </cell>
          <cell r="AH5">
            <v>123128.433</v>
          </cell>
          <cell r="AI5">
            <v>126337.0099</v>
          </cell>
          <cell r="AJ5">
            <v>128134.2131721304</v>
          </cell>
          <cell r="AK5">
            <v>130056.06367326852</v>
          </cell>
          <cell r="AL5">
            <v>137422.89222626464</v>
          </cell>
          <cell r="AM5">
            <v>146693.04799210199</v>
          </cell>
          <cell r="AN5">
            <v>159372.34208143747</v>
          </cell>
          <cell r="AO5">
            <v>168392.9452893007</v>
          </cell>
        </row>
        <row r="6">
          <cell r="AC6">
            <v>1.5</v>
          </cell>
          <cell r="AD6">
            <v>2.5</v>
          </cell>
          <cell r="AE6">
            <v>-4.2000000000000028</v>
          </cell>
          <cell r="AF6">
            <v>5.6</v>
          </cell>
          <cell r="AG6">
            <v>4.6692036890364266</v>
          </cell>
          <cell r="AH6">
            <v>1.4193535296283377</v>
          </cell>
          <cell r="AI6">
            <v>4.0660313763596729</v>
          </cell>
          <cell r="AJ6">
            <v>3.1046396890931525</v>
          </cell>
          <cell r="AK6">
            <v>2.4804947576486254</v>
          </cell>
          <cell r="AL6">
            <v>2.6284548386721491</v>
          </cell>
          <cell r="AM6">
            <v>2.3123572126177177</v>
          </cell>
          <cell r="AN6">
            <v>3.7911582172896594</v>
          </cell>
          <cell r="AO6">
            <v>0.97038856638787074</v>
          </cell>
        </row>
        <row r="7">
          <cell r="AC7">
            <v>12.184876956965468</v>
          </cell>
          <cell r="AD7">
            <v>-0.24130786181257236</v>
          </cell>
          <cell r="AE7">
            <v>-7.4926298450639734</v>
          </cell>
          <cell r="AF7">
            <v>21.6077660624983</v>
          </cell>
          <cell r="AG7">
            <v>37.330336843532251</v>
          </cell>
          <cell r="AH7">
            <v>-9.3805784553804301</v>
          </cell>
          <cell r="AI7">
            <v>-1.4031026580185539</v>
          </cell>
          <cell r="AJ7">
            <v>-1.6314423397709987</v>
          </cell>
          <cell r="AK7">
            <v>-0.95688621861904721</v>
          </cell>
          <cell r="AL7">
            <v>2.9581401759837433</v>
          </cell>
          <cell r="AM7">
            <v>4.3331590255732237</v>
          </cell>
          <cell r="AN7">
            <v>4.6750227996132452</v>
          </cell>
          <cell r="AO7">
            <v>4.6446212801958922</v>
          </cell>
        </row>
        <row r="12">
          <cell r="AC12">
            <v>35665.1</v>
          </cell>
          <cell r="AD12">
            <v>33885.899999999994</v>
          </cell>
          <cell r="AE12">
            <v>24732.6</v>
          </cell>
          <cell r="AF12">
            <v>39956.659999999996</v>
          </cell>
          <cell r="AG12">
            <v>68732.585000000006</v>
          </cell>
          <cell r="AH12">
            <v>48809.733</v>
          </cell>
          <cell r="AI12">
            <v>45356.609899999996</v>
          </cell>
          <cell r="AJ12">
            <v>42011.439732053434</v>
          </cell>
          <cell r="AK12">
            <v>38978.821339756978</v>
          </cell>
          <cell r="AL12">
            <v>39297.018181392523</v>
          </cell>
          <cell r="AM12">
            <v>39671.039599278884</v>
          </cell>
          <cell r="AN12">
            <v>42492.031469528403</v>
          </cell>
          <cell r="AO12">
            <v>42976.342800427941</v>
          </cell>
        </row>
        <row r="14">
          <cell r="AC14">
            <v>1.2571434280447293</v>
          </cell>
          <cell r="AD14">
            <v>1.6985953033077164</v>
          </cell>
          <cell r="AE14">
            <v>-4.5215475374713252</v>
          </cell>
          <cell r="AF14">
            <v>4.2815778971883374</v>
          </cell>
          <cell r="AG14">
            <v>-1.3769180489560389</v>
          </cell>
          <cell r="AH14">
            <v>-1.6960597897634886</v>
          </cell>
          <cell r="AI14">
            <v>0.94674975993005062</v>
          </cell>
          <cell r="AJ14">
            <v>1.1095726131744321</v>
          </cell>
          <cell r="AK14">
            <v>-0.55733166544826274</v>
          </cell>
          <cell r="AL14">
            <v>0.49366371945722098</v>
          </cell>
          <cell r="AM14">
            <v>0.28162699589832962</v>
          </cell>
          <cell r="AN14">
            <v>5.7586611393874652</v>
          </cell>
          <cell r="AO14">
            <v>-0.39202719407839098</v>
          </cell>
        </row>
        <row r="15">
          <cell r="AC15">
            <v>24.864154797852194</v>
          </cell>
          <cell r="AD15">
            <v>-6.575533934436578</v>
          </cell>
          <cell r="AE15">
            <v>-23.555652576900016</v>
          </cell>
          <cell r="AF15">
            <v>54.921541812131636</v>
          </cell>
          <cell r="AG15">
            <v>74.419456815578769</v>
          </cell>
          <cell r="AH15">
            <v>-27.660816500890142</v>
          </cell>
          <cell r="AI15">
            <v>-7.9461802260235288</v>
          </cell>
          <cell r="AJ15">
            <v>-8.3917253114829293</v>
          </cell>
          <cell r="AK15">
            <v>-6.6985553357081642</v>
          </cell>
          <cell r="AL15">
            <v>0.32108384698376824</v>
          </cell>
          <cell r="AM15">
            <v>0.66827162793930484</v>
          </cell>
          <cell r="AN15">
            <v>1.2786651516601921</v>
          </cell>
          <cell r="AO15">
            <v>1.5378256625230335</v>
          </cell>
        </row>
        <row r="20">
          <cell r="AC20">
            <v>3433.3399999999997</v>
          </cell>
          <cell r="AD20">
            <v>3833.98</v>
          </cell>
          <cell r="AE20">
            <v>4315.12</v>
          </cell>
          <cell r="AF20">
            <v>5455.1</v>
          </cell>
          <cell r="AG20">
            <v>6242.0650000000005</v>
          </cell>
          <cell r="AH20">
            <v>6533.8330000000014</v>
          </cell>
          <cell r="AI20">
            <v>6718.5099</v>
          </cell>
          <cell r="AJ20">
            <v>7440.0791960899169</v>
          </cell>
          <cell r="AK20">
            <v>8215.1165965271066</v>
          </cell>
          <cell r="AL20">
            <v>9035.9135451924376</v>
          </cell>
          <cell r="AM20">
            <v>10420.509061628574</v>
          </cell>
          <cell r="AN20">
            <v>11690.138787533451</v>
          </cell>
          <cell r="AO20">
            <v>12145.301126367685</v>
          </cell>
        </row>
        <row r="22">
          <cell r="AC22">
            <v>6.8853759847896878</v>
          </cell>
          <cell r="AD22">
            <v>13.696947972528228</v>
          </cell>
          <cell r="AE22">
            <v>11.014783410450754</v>
          </cell>
          <cell r="AF22">
            <v>17.927452585327906</v>
          </cell>
          <cell r="AG22">
            <v>5.6141965445179425</v>
          </cell>
          <cell r="AH22">
            <v>6.3746478665313742</v>
          </cell>
          <cell r="AI22">
            <v>4.9806448986375651</v>
          </cell>
          <cell r="AJ22">
            <v>8.6352349748163544</v>
          </cell>
          <cell r="AK22">
            <v>8.0692617233971369</v>
          </cell>
          <cell r="AL22">
            <v>7.0734784259389247</v>
          </cell>
          <cell r="AM22">
            <v>11.973971380911737</v>
          </cell>
          <cell r="AN22">
            <v>8.8563170177056065</v>
          </cell>
          <cell r="AO22">
            <v>1.4506262837684867</v>
          </cell>
        </row>
        <row r="23">
          <cell r="AC23">
            <v>0.28332025915793224</v>
          </cell>
          <cell r="AD23">
            <v>-1.7835522004332631</v>
          </cell>
          <cell r="AE23">
            <v>1.3823184449828148</v>
          </cell>
          <cell r="AF23">
            <v>7.2000335915316782</v>
          </cell>
          <cell r="AG23">
            <v>8.3436022279693702</v>
          </cell>
          <cell r="AH23">
            <v>-1.5985251259445192</v>
          </cell>
          <cell r="AI23">
            <v>-2.0519723642142793</v>
          </cell>
          <cell r="AJ23">
            <v>1.9374789991930754</v>
          </cell>
          <cell r="AK23">
            <v>2.1724926348937146</v>
          </cell>
          <cell r="AL23">
            <v>2.7250647569792505</v>
          </cell>
          <cell r="AM23">
            <v>2.991121424061177</v>
          </cell>
          <cell r="AN23">
            <v>3.0569048716078981</v>
          </cell>
          <cell r="AO23">
            <v>2.4080006672225807</v>
          </cell>
        </row>
        <row r="25">
          <cell r="AC25">
            <v>34935</v>
          </cell>
          <cell r="AD25">
            <v>32863.9</v>
          </cell>
          <cell r="AE25">
            <v>22815</v>
          </cell>
          <cell r="AF25">
            <v>36222.090000000004</v>
          </cell>
          <cell r="AG25">
            <v>64742.260000000009</v>
          </cell>
          <cell r="AH25">
            <v>45112.800000000003</v>
          </cell>
          <cell r="AI25">
            <v>41179.5</v>
          </cell>
          <cell r="AJ25">
            <v>36430.199079274273</v>
          </cell>
          <cell r="AK25">
            <v>32581.136939215452</v>
          </cell>
          <cell r="AL25">
            <v>31842.021058677248</v>
          </cell>
          <cell r="AM25">
            <v>32227.359215867327</v>
          </cell>
          <cell r="AN25">
            <v>34663.193066889835</v>
          </cell>
          <cell r="AO25">
            <v>34261.719587527085</v>
          </cell>
        </row>
        <row r="26">
          <cell r="AC26">
            <v>3893.670000000001</v>
          </cell>
          <cell r="AD26">
            <v>4017.1000000000022</v>
          </cell>
          <cell r="AE26">
            <v>3566.7999999999993</v>
          </cell>
          <cell r="AF26">
            <v>3572.1500000000051</v>
          </cell>
          <cell r="AG26">
            <v>4599.2000000000044</v>
          </cell>
          <cell r="AH26">
            <v>4215.6500000000015</v>
          </cell>
          <cell r="AI26">
            <v>4043.5</v>
          </cell>
          <cell r="AJ26">
            <v>3922.9494444478878</v>
          </cell>
          <cell r="AK26">
            <v>3858.4133562770803</v>
          </cell>
          <cell r="AL26">
            <v>3860.6148011876576</v>
          </cell>
          <cell r="AM26">
            <v>4525.4668447978365</v>
          </cell>
          <cell r="AN26">
            <v>5203.1177126453258</v>
          </cell>
          <cell r="AO26">
            <v>5051.9807740994038</v>
          </cell>
        </row>
        <row r="27">
          <cell r="AC27">
            <v>31041.4</v>
          </cell>
          <cell r="AD27">
            <v>28846.799999999999</v>
          </cell>
          <cell r="AE27">
            <v>19248.2</v>
          </cell>
          <cell r="AF27">
            <v>32649.94</v>
          </cell>
          <cell r="AG27">
            <v>60143.060000000005</v>
          </cell>
          <cell r="AH27">
            <v>40897.15</v>
          </cell>
          <cell r="AI27">
            <v>37136</v>
          </cell>
          <cell r="AJ27">
            <v>32507.249634826385</v>
          </cell>
          <cell r="AK27">
            <v>28722.723582938372</v>
          </cell>
          <cell r="AL27">
            <v>27981.406257489591</v>
          </cell>
          <cell r="AM27">
            <v>27701.892371069491</v>
          </cell>
          <cell r="AN27">
            <v>29460.075354244509</v>
          </cell>
          <cell r="AO27">
            <v>29209.738813427681</v>
          </cell>
        </row>
        <row r="28">
          <cell r="AC28">
            <v>88.854730213253191</v>
          </cell>
          <cell r="AD28">
            <v>87.776557255833893</v>
          </cell>
          <cell r="AE28">
            <v>84.366425597194834</v>
          </cell>
          <cell r="AF28">
            <v>90.138200197724643</v>
          </cell>
          <cell r="AG28">
            <v>92.896139245061875</v>
          </cell>
          <cell r="AH28">
            <v>90.655312904541503</v>
          </cell>
          <cell r="AI28">
            <v>90.180793841595943</v>
          </cell>
          <cell r="AJ28">
            <v>89.231600310744057</v>
          </cell>
          <cell r="AK28">
            <v>88.157523896494226</v>
          </cell>
          <cell r="AL28">
            <v>87.875723107922497</v>
          </cell>
          <cell r="AM28">
            <v>85.957686404011355</v>
          </cell>
          <cell r="AN28">
            <v>84.989502546390256</v>
          </cell>
          <cell r="AO28">
            <v>85.254736671364952</v>
          </cell>
        </row>
        <row r="29">
          <cell r="AC29">
            <v>0.36036077439536029</v>
          </cell>
          <cell r="AD29">
            <v>0.59694488650640665</v>
          </cell>
          <cell r="AE29">
            <v>-6.6697786478916044</v>
          </cell>
          <cell r="AF29">
            <v>0.54720888706476956</v>
          </cell>
          <cell r="AG29">
            <v>-2.3789936643068756</v>
          </cell>
          <cell r="AH29">
            <v>-3.076410096193996</v>
          </cell>
          <cell r="AI29">
            <v>0.81941832132557124</v>
          </cell>
          <cell r="AJ29">
            <v>-0.37594767416373998</v>
          </cell>
          <cell r="AK29">
            <v>-1.6444258934403422</v>
          </cell>
          <cell r="AL29">
            <v>-2.2071807956578198</v>
          </cell>
          <cell r="AM29">
            <v>-0.57651616388665161</v>
          </cell>
          <cell r="AN29">
            <v>5.6067653492092546</v>
          </cell>
          <cell r="AO29">
            <v>-1.6208315536881628</v>
          </cell>
        </row>
        <row r="30">
          <cell r="AC30">
            <v>28.663529981773848</v>
          </cell>
          <cell r="AD30">
            <v>-7.6213626357870794</v>
          </cell>
          <cell r="AE30">
            <v>-28.505903325583915</v>
          </cell>
          <cell r="AF30">
            <v>68.702782430659994</v>
          </cell>
          <cell r="AG30">
            <v>88.694765532007438</v>
          </cell>
          <cell r="AH30">
            <v>-29.841865549928372</v>
          </cell>
          <cell r="AI30">
            <v>-9.9346188438720446</v>
          </cell>
          <cell r="AJ30">
            <v>-12.133991102572935</v>
          </cell>
          <cell r="AK30">
            <v>-10.164825724344638</v>
          </cell>
          <cell r="AL30">
            <v>-0.38219872348879846</v>
          </cell>
          <cell r="AM30">
            <v>-0.42486045522991844</v>
          </cell>
          <cell r="AN30">
            <v>0.70074302780692221</v>
          </cell>
          <cell r="AO30">
            <v>0.78378694563032525</v>
          </cell>
        </row>
        <row r="33">
          <cell r="AC33">
            <v>31417.200000000001</v>
          </cell>
          <cell r="AD33">
            <v>29261.599999999999</v>
          </cell>
          <cell r="AE33">
            <v>19320.599999999999</v>
          </cell>
          <cell r="AF33">
            <v>33711.9</v>
          </cell>
          <cell r="AG33">
            <v>62293.26</v>
          </cell>
          <cell r="AH33">
            <v>42133.5</v>
          </cell>
          <cell r="AI33">
            <v>38009.599999999999</v>
          </cell>
          <cell r="AJ33">
            <v>32631.382878933386</v>
          </cell>
          <cell r="AK33">
            <v>28222.882377223978</v>
          </cell>
          <cell r="AL33">
            <v>27277.145516744262</v>
          </cell>
          <cell r="AM33">
            <v>26145.9076793067</v>
          </cell>
          <cell r="AN33">
            <v>27368.488162104717</v>
          </cell>
          <cell r="AO33">
            <v>27258.693618393336</v>
          </cell>
        </row>
        <row r="34">
          <cell r="AC34">
            <v>1702.7000000000007</v>
          </cell>
          <cell r="AD34">
            <v>1754.4499999999971</v>
          </cell>
          <cell r="AE34">
            <v>1668.0099999999984</v>
          </cell>
          <cell r="AF34">
            <v>2516.5999999999985</v>
          </cell>
          <cell r="AG34">
            <v>3570.5999999999985</v>
          </cell>
          <cell r="AH34">
            <v>3047.3000000000029</v>
          </cell>
          <cell r="AI34">
            <v>2793.9000000000015</v>
          </cell>
          <cell r="AJ34">
            <v>2398.5735347241753</v>
          </cell>
          <cell r="AK34">
            <v>2074.5262005842233</v>
          </cell>
          <cell r="AL34">
            <v>2005.009704370259</v>
          </cell>
          <cell r="AM34">
            <v>1921.8579376056296</v>
          </cell>
          <cell r="AN34">
            <v>2011.7238559759753</v>
          </cell>
          <cell r="AO34">
            <v>2003.6533954692823</v>
          </cell>
        </row>
        <row r="35">
          <cell r="AC35">
            <v>29714.5</v>
          </cell>
          <cell r="AD35">
            <v>27507.15</v>
          </cell>
          <cell r="AE35">
            <v>17652.59</v>
          </cell>
          <cell r="AF35">
            <v>31195.300000000003</v>
          </cell>
          <cell r="AG35">
            <v>58722.66</v>
          </cell>
          <cell r="AH35">
            <v>39086.199999999997</v>
          </cell>
          <cell r="AI35">
            <v>35215.699999999997</v>
          </cell>
          <cell r="AJ35">
            <v>30232.80934420921</v>
          </cell>
          <cell r="AK35">
            <v>26148.356176639754</v>
          </cell>
          <cell r="AL35">
            <v>25272.135812374003</v>
          </cell>
          <cell r="AM35">
            <v>24224.04974170107</v>
          </cell>
          <cell r="AN35">
            <v>25356.764306128742</v>
          </cell>
          <cell r="AO35">
            <v>25255.040222924054</v>
          </cell>
        </row>
        <row r="36">
          <cell r="AC36">
            <v>94.580357256534626</v>
          </cell>
          <cell r="AD36">
            <v>94.004258140361443</v>
          </cell>
          <cell r="AE36">
            <v>91.36667598314753</v>
          </cell>
          <cell r="AF36">
            <v>92.53498022953319</v>
          </cell>
          <cell r="AG36">
            <v>94.268079724837008</v>
          </cell>
          <cell r="AH36">
            <v>92.767512786737385</v>
          </cell>
          <cell r="AI36">
            <v>92.649488550260983</v>
          </cell>
          <cell r="AJ36">
            <v>92.649488550260983</v>
          </cell>
          <cell r="AK36">
            <v>92.649488550260983</v>
          </cell>
          <cell r="AL36">
            <v>92.649488550260983</v>
          </cell>
          <cell r="AM36">
            <v>92.649488550260983</v>
          </cell>
          <cell r="AN36">
            <v>92.649488550260983</v>
          </cell>
          <cell r="AO36">
            <v>92.649488550260983</v>
          </cell>
        </row>
        <row r="37">
          <cell r="AC37">
            <v>1.07</v>
          </cell>
          <cell r="AD37">
            <v>0.23</v>
          </cell>
          <cell r="AE37">
            <v>-6.1</v>
          </cell>
          <cell r="AF37">
            <v>4.7699999999999996</v>
          </cell>
          <cell r="AG37">
            <v>-1.7829999999999999</v>
          </cell>
          <cell r="AH37">
            <v>-3.1</v>
          </cell>
          <cell r="AI37">
            <v>1.095</v>
          </cell>
          <cell r="AJ37">
            <v>-1.036024446946731</v>
          </cell>
          <cell r="AK37">
            <v>-2.5544230019389382</v>
          </cell>
          <cell r="AL37">
            <v>-2.5996838329959644</v>
          </cell>
          <cell r="AM37">
            <v>-3.1970857702915501</v>
          </cell>
          <cell r="AN37">
            <v>4.3908093577082754</v>
          </cell>
          <cell r="AO37">
            <v>-0.68427470199206297</v>
          </cell>
        </row>
        <row r="38">
          <cell r="AC38">
            <v>29.657293008356163</v>
          </cell>
          <cell r="AD38">
            <v>-7.6409539655319634</v>
          </cell>
          <cell r="AE38">
            <v>-31.656495228560743</v>
          </cell>
          <cell r="AF38">
            <v>68.67230825805305</v>
          </cell>
          <cell r="AG38">
            <v>91.659296064562994</v>
          </cell>
          <cell r="AH38">
            <v>-31.309930941625709</v>
          </cell>
          <cell r="AI38">
            <v>-10.878353995949382</v>
          </cell>
          <cell r="AJ38">
            <v>-13.250886281602305</v>
          </cell>
          <cell r="AK38">
            <v>-11.242766889379965</v>
          </cell>
          <cell r="AL38">
            <v>-0.77132593923479931</v>
          </cell>
          <cell r="AM38">
            <v>-0.98149363785194055</v>
          </cell>
          <cell r="AN38">
            <v>0.27318724859020449</v>
          </cell>
          <cell r="AO38">
            <v>0.2850538659336479</v>
          </cell>
        </row>
        <row r="40">
          <cell r="AC40">
            <v>248.4</v>
          </cell>
          <cell r="AD40">
            <v>312.7</v>
          </cell>
          <cell r="AE40">
            <v>390.4</v>
          </cell>
          <cell r="AF40">
            <v>385.39</v>
          </cell>
          <cell r="AG40">
            <v>361.4</v>
          </cell>
          <cell r="AH40">
            <v>332.3</v>
          </cell>
          <cell r="AI40">
            <v>382.4</v>
          </cell>
          <cell r="AJ40">
            <v>637.19127761319942</v>
          </cell>
          <cell r="AK40">
            <v>947.74518458314992</v>
          </cell>
          <cell r="AL40">
            <v>879.92983954166311</v>
          </cell>
          <cell r="AM40">
            <v>2068.5754891951797</v>
          </cell>
          <cell r="AN40">
            <v>2926.9810384618004</v>
          </cell>
          <cell r="AO40">
            <v>2595.7404572063647</v>
          </cell>
        </row>
        <row r="41">
          <cell r="AC41">
            <v>164.2</v>
          </cell>
          <cell r="AD41">
            <v>206.99</v>
          </cell>
          <cell r="AE41">
            <v>244.7</v>
          </cell>
          <cell r="AF41">
            <v>189.49</v>
          </cell>
          <cell r="AG41">
            <v>198.99999999999997</v>
          </cell>
          <cell r="AH41">
            <v>173.5</v>
          </cell>
          <cell r="AI41">
            <v>199.59999999999997</v>
          </cell>
          <cell r="AJ41">
            <v>332.59251833575991</v>
          </cell>
          <cell r="AK41">
            <v>494.69126266421728</v>
          </cell>
          <cell r="AL41">
            <v>459.29392252226972</v>
          </cell>
          <cell r="AM41">
            <v>1079.7271643393249</v>
          </cell>
          <cell r="AN41">
            <v>1527.786127816358</v>
          </cell>
          <cell r="AO41">
            <v>1354.8896319518576</v>
          </cell>
        </row>
        <row r="42">
          <cell r="AC42">
            <v>84.2</v>
          </cell>
          <cell r="AD42">
            <v>105.71</v>
          </cell>
          <cell r="AE42">
            <v>145.69999999999999</v>
          </cell>
          <cell r="AF42">
            <v>195.89999999999998</v>
          </cell>
          <cell r="AG42">
            <v>162.4</v>
          </cell>
          <cell r="AH42">
            <v>158.80000000000001</v>
          </cell>
          <cell r="AI42">
            <v>182.8</v>
          </cell>
          <cell r="AJ42">
            <v>304.59875927743951</v>
          </cell>
          <cell r="AK42">
            <v>453.05392191893264</v>
          </cell>
          <cell r="AL42">
            <v>420.63591701939339</v>
          </cell>
          <cell r="AM42">
            <v>988.8483248558548</v>
          </cell>
          <cell r="AN42">
            <v>1399.1949106454424</v>
          </cell>
          <cell r="AO42">
            <v>1240.8508252545071</v>
          </cell>
        </row>
        <row r="43">
          <cell r="AC43">
            <v>33.896940418679549</v>
          </cell>
          <cell r="AD43">
            <v>33.805564438759191</v>
          </cell>
          <cell r="AE43">
            <v>37.320696721311478</v>
          </cell>
          <cell r="AF43">
            <v>50.831625107034426</v>
          </cell>
          <cell r="AG43">
            <v>44.936358605423358</v>
          </cell>
          <cell r="AH43">
            <v>47.788143244056577</v>
          </cell>
          <cell r="AI43">
            <v>47.803347280334734</v>
          </cell>
          <cell r="AJ43">
            <v>47.803347280334734</v>
          </cell>
          <cell r="AK43">
            <v>47.803347280334734</v>
          </cell>
          <cell r="AL43">
            <v>47.803347280334734</v>
          </cell>
          <cell r="AM43">
            <v>47.803347280334734</v>
          </cell>
          <cell r="AN43">
            <v>47.803347280334734</v>
          </cell>
          <cell r="AO43">
            <v>47.803347280334734</v>
          </cell>
        </row>
        <row r="44">
          <cell r="AC44">
            <v>-32.78</v>
          </cell>
          <cell r="AD44">
            <v>8.3000000000000007</v>
          </cell>
          <cell r="AE44">
            <v>-5.22</v>
          </cell>
          <cell r="AF44">
            <v>-5.1459999999999999</v>
          </cell>
          <cell r="AG44">
            <v>-3.7999999999999972</v>
          </cell>
          <cell r="AH44">
            <v>-16.8</v>
          </cell>
          <cell r="AI44">
            <v>-11.2</v>
          </cell>
          <cell r="AJ44">
            <v>70.693652794637075</v>
          </cell>
          <cell r="AK44">
            <v>48.73794069078096</v>
          </cell>
          <cell r="AL44">
            <v>-7.1554407392018931</v>
          </cell>
          <cell r="AM44">
            <v>135.08413923917578</v>
          </cell>
          <cell r="AN44">
            <v>41.497424374906444</v>
          </cell>
          <cell r="AO44">
            <v>-11.316799695754469</v>
          </cell>
        </row>
        <row r="45">
          <cell r="AC45">
            <v>43.252903916704554</v>
          </cell>
          <cell r="AD45">
            <v>15.924578291584695</v>
          </cell>
          <cell r="AE45">
            <v>45.420882067377505</v>
          </cell>
          <cell r="AF45">
            <v>41.748748888205711</v>
          </cell>
          <cell r="AG45">
            <v>-13.825947516606007</v>
          </cell>
          <cell r="AH45">
            <v>17.527946191739318</v>
          </cell>
          <cell r="AI45">
            <v>29.632151042730413</v>
          </cell>
          <cell r="AJ45">
            <v>-2.3809523809523938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</row>
        <row r="47">
          <cell r="AC47">
            <v>60</v>
          </cell>
          <cell r="AD47">
            <v>76.3</v>
          </cell>
          <cell r="AE47">
            <v>81.5</v>
          </cell>
          <cell r="AF47">
            <v>100</v>
          </cell>
          <cell r="AG47">
            <v>180.3</v>
          </cell>
          <cell r="AH47">
            <v>232.9</v>
          </cell>
          <cell r="AI47">
            <v>256.7</v>
          </cell>
          <cell r="AJ47">
            <v>295.37723697557965</v>
          </cell>
          <cell r="AK47">
            <v>336.33991723510684</v>
          </cell>
          <cell r="AL47">
            <v>380.03925170142702</v>
          </cell>
          <cell r="AM47">
            <v>430.16783241396678</v>
          </cell>
          <cell r="AN47">
            <v>492.70790929292843</v>
          </cell>
          <cell r="AO47">
            <v>569.89594985438634</v>
          </cell>
        </row>
        <row r="48">
          <cell r="AC48">
            <v>39.019999999999996</v>
          </cell>
          <cell r="AD48">
            <v>48.89</v>
          </cell>
          <cell r="AE48">
            <v>49.18</v>
          </cell>
          <cell r="AF48">
            <v>55.71</v>
          </cell>
          <cell r="AG48">
            <v>98.160000000000011</v>
          </cell>
          <cell r="AH48">
            <v>130.65</v>
          </cell>
          <cell r="AI48">
            <v>144</v>
          </cell>
          <cell r="AJ48">
            <v>165.69661910589588</v>
          </cell>
          <cell r="AK48">
            <v>188.67529443652273</v>
          </cell>
          <cell r="AL48">
            <v>213.18914002729059</v>
          </cell>
          <cell r="AM48">
            <v>241.30957486408732</v>
          </cell>
          <cell r="AN48">
            <v>276.39243840351264</v>
          </cell>
          <cell r="AO48">
            <v>319.69231312439285</v>
          </cell>
        </row>
        <row r="49">
          <cell r="AC49">
            <v>20.98</v>
          </cell>
          <cell r="AD49">
            <v>27.41</v>
          </cell>
          <cell r="AE49">
            <v>32.32</v>
          </cell>
          <cell r="AF49">
            <v>44.29</v>
          </cell>
          <cell r="AG49">
            <v>82.14</v>
          </cell>
          <cell r="AH49">
            <v>102.25</v>
          </cell>
          <cell r="AI49">
            <v>112.7</v>
          </cell>
          <cell r="AJ49">
            <v>129.68061786968377</v>
          </cell>
          <cell r="AK49">
            <v>147.66462279858411</v>
          </cell>
          <cell r="AL49">
            <v>166.85011167413643</v>
          </cell>
          <cell r="AM49">
            <v>188.85825754987945</v>
          </cell>
          <cell r="AN49">
            <v>216.31547088941576</v>
          </cell>
          <cell r="AO49">
            <v>250.20363672999352</v>
          </cell>
        </row>
        <row r="50">
          <cell r="AC50">
            <v>34.966666666666669</v>
          </cell>
          <cell r="AD50">
            <v>35.923984272608131</v>
          </cell>
          <cell r="AE50">
            <v>39.656441717791409</v>
          </cell>
          <cell r="AF50">
            <v>44.29</v>
          </cell>
          <cell r="AG50">
            <v>45.557404326123127</v>
          </cell>
          <cell r="AH50">
            <v>43.90296264491198</v>
          </cell>
          <cell r="AI50">
            <v>43.903389170237631</v>
          </cell>
          <cell r="AJ50">
            <v>43.903389170237631</v>
          </cell>
          <cell r="AK50">
            <v>43.903389170237631</v>
          </cell>
          <cell r="AL50">
            <v>43.903389170237631</v>
          </cell>
          <cell r="AM50">
            <v>43.903389170237631</v>
          </cell>
          <cell r="AN50">
            <v>43.903389170237631</v>
          </cell>
          <cell r="AO50">
            <v>43.903389170237631</v>
          </cell>
        </row>
        <row r="51">
          <cell r="AC51">
            <v>66.599999999999994</v>
          </cell>
          <cell r="AD51">
            <v>6.25</v>
          </cell>
          <cell r="AE51">
            <v>-10.35</v>
          </cell>
          <cell r="AF51">
            <v>28.95</v>
          </cell>
          <cell r="AG51">
            <v>12.55</v>
          </cell>
          <cell r="AH51">
            <v>-4.55</v>
          </cell>
          <cell r="AI51">
            <v>35.700000000000003</v>
          </cell>
          <cell r="AJ51">
            <v>13.096645354983337</v>
          </cell>
          <cell r="AK51">
            <v>10.85491496738382</v>
          </cell>
          <cell r="AL51">
            <v>7.54511922264291</v>
          </cell>
          <cell r="AM51">
            <v>6.0807379338339302</v>
          </cell>
          <cell r="AN51">
            <v>6.9791630311168689</v>
          </cell>
          <cell r="AO51">
            <v>7.8938795814476208</v>
          </cell>
        </row>
        <row r="52">
          <cell r="AC52">
            <v>-37.519041355068438</v>
          </cell>
          <cell r="AD52">
            <v>22.963046038243704</v>
          </cell>
          <cell r="AE52">
            <v>31.526124233993613</v>
          </cell>
          <cell r="AF52">
            <v>6.2705630780216524</v>
          </cell>
          <cell r="AG52">
            <v>64.779628311001801</v>
          </cell>
          <cell r="AH52">
            <v>30.416543424627463</v>
          </cell>
          <cell r="AI52">
            <v>-18.776677303054171</v>
          </cell>
          <cell r="AJ52">
            <v>1.7422720542668912</v>
          </cell>
          <cell r="AK52">
            <v>2.7179719422708075</v>
          </cell>
          <cell r="AL52">
            <v>5.0653075085368613</v>
          </cell>
          <cell r="AM52">
            <v>6.7020945420822784</v>
          </cell>
          <cell r="AN52">
            <v>7.0662044612957402</v>
          </cell>
          <cell r="AO52">
            <v>7.2035648256658931</v>
          </cell>
        </row>
        <row r="54">
          <cell r="AC54">
            <v>3209.4</v>
          </cell>
          <cell r="AD54">
            <v>3213.3</v>
          </cell>
          <cell r="AE54">
            <v>3022.5</v>
          </cell>
          <cell r="AF54">
            <v>2024.8</v>
          </cell>
          <cell r="AG54">
            <v>1907.3</v>
          </cell>
          <cell r="AH54">
            <v>2414.1</v>
          </cell>
          <cell r="AI54">
            <v>2530.8000000000002</v>
          </cell>
          <cell r="AJ54">
            <v>2866.2476857521006</v>
          </cell>
          <cell r="AK54">
            <v>3074.1694601732197</v>
          </cell>
          <cell r="AL54">
            <v>3304.9064506898985</v>
          </cell>
          <cell r="AM54">
            <v>3582.7082149514795</v>
          </cell>
          <cell r="AN54">
            <v>3875.0159570303895</v>
          </cell>
          <cell r="AO54">
            <v>3837.3895620729977</v>
          </cell>
        </row>
        <row r="55">
          <cell r="AC55">
            <v>1987.75</v>
          </cell>
          <cell r="AD55">
            <v>2006.8200000000002</v>
          </cell>
          <cell r="AE55">
            <v>1604.9</v>
          </cell>
          <cell r="AF55">
            <v>810.39999999999986</v>
          </cell>
          <cell r="AG55">
            <v>731.44</v>
          </cell>
          <cell r="AH55">
            <v>864.19999999999982</v>
          </cell>
          <cell r="AI55">
            <v>906.00000000000023</v>
          </cell>
          <cell r="AJ55">
            <v>1026.0867722820469</v>
          </cell>
          <cell r="AK55">
            <v>1100.5205985921202</v>
          </cell>
          <cell r="AL55">
            <v>1183.1220342678398</v>
          </cell>
          <cell r="AM55">
            <v>1282.5721679887947</v>
          </cell>
          <cell r="AN55">
            <v>1387.215290449476</v>
          </cell>
          <cell r="AO55">
            <v>1373.7454335538714</v>
          </cell>
        </row>
        <row r="56">
          <cell r="AC56">
            <v>1221.6500000000001</v>
          </cell>
          <cell r="AD56">
            <v>1206.48</v>
          </cell>
          <cell r="AE56">
            <v>1417.6</v>
          </cell>
          <cell r="AF56">
            <v>1214.4000000000001</v>
          </cell>
          <cell r="AG56">
            <v>1175.8599999999999</v>
          </cell>
          <cell r="AH56">
            <v>1549.9</v>
          </cell>
          <cell r="AI56">
            <v>1624.8</v>
          </cell>
          <cell r="AJ56">
            <v>1840.1609134700536</v>
          </cell>
          <cell r="AK56">
            <v>1973.6488615810995</v>
          </cell>
          <cell r="AL56">
            <v>2121.7844164220587</v>
          </cell>
          <cell r="AM56">
            <v>2300.1360469626848</v>
          </cell>
          <cell r="AN56">
            <v>2487.8006665809135</v>
          </cell>
          <cell r="AO56">
            <v>2463.6441285191263</v>
          </cell>
        </row>
        <row r="57">
          <cell r="AC57">
            <v>38.064747304792171</v>
          </cell>
          <cell r="AD57">
            <v>37.546447577257027</v>
          </cell>
          <cell r="AE57">
            <v>46.901571546732832</v>
          </cell>
          <cell r="AF57">
            <v>59.976293954958514</v>
          </cell>
          <cell r="AG57">
            <v>61.650500707806842</v>
          </cell>
          <cell r="AH57">
            <v>64.201980033967118</v>
          </cell>
          <cell r="AI57">
            <v>64.201043148411557</v>
          </cell>
          <cell r="AJ57">
            <v>64.201043148411557</v>
          </cell>
          <cell r="AK57">
            <v>64.201043148411557</v>
          </cell>
          <cell r="AL57">
            <v>64.201043148411557</v>
          </cell>
          <cell r="AM57">
            <v>64.201043148411557</v>
          </cell>
          <cell r="AN57">
            <v>64.201043148411557</v>
          </cell>
          <cell r="AO57">
            <v>64.201043148411557</v>
          </cell>
        </row>
        <row r="58">
          <cell r="AC58">
            <v>-11.2</v>
          </cell>
          <cell r="AD58">
            <v>8.9</v>
          </cell>
          <cell r="AE58">
            <v>-19.7</v>
          </cell>
          <cell r="AF58">
            <v>-52.1</v>
          </cell>
          <cell r="AG58">
            <v>-18</v>
          </cell>
          <cell r="AH58">
            <v>0.1</v>
          </cell>
          <cell r="AI58">
            <v>-7.2</v>
          </cell>
          <cell r="AJ58">
            <v>5.0002102574046576</v>
          </cell>
          <cell r="AK58">
            <v>4.085747164265328</v>
          </cell>
          <cell r="AL58">
            <v>3.3992207819473306</v>
          </cell>
          <cell r="AM58">
            <v>3.2188191010677336</v>
          </cell>
          <cell r="AN58">
            <v>2.8703062267689514</v>
          </cell>
          <cell r="AO58">
            <v>-6.5407117730243352</v>
          </cell>
        </row>
        <row r="59">
          <cell r="AC59">
            <v>9.4717897654159344</v>
          </cell>
          <cell r="AD59">
            <v>-9.3129138559499154</v>
          </cell>
          <cell r="AE59">
            <v>46.324831381688739</v>
          </cell>
          <cell r="AF59">
            <v>78.843244720707673</v>
          </cell>
          <cell r="AG59">
            <v>18.08099553327547</v>
          </cell>
          <cell r="AH59">
            <v>31.678231111837192</v>
          </cell>
          <cell r="AI59">
            <v>12.966131296568634</v>
          </cell>
          <cell r="AJ59">
            <v>7.8613179435711231</v>
          </cell>
          <cell r="AK59">
            <v>3.0440269817135719</v>
          </cell>
          <cell r="AL59">
            <v>3.9714500681288429</v>
          </cell>
          <cell r="AM59">
            <v>5.0251674518872065</v>
          </cell>
          <cell r="AN59">
            <v>5.1409805726250584</v>
          </cell>
          <cell r="AO59">
            <v>5.9595061511528549</v>
          </cell>
        </row>
        <row r="61">
          <cell r="AC61">
            <v>10485.400000000001</v>
          </cell>
          <cell r="AD61">
            <v>11808</v>
          </cell>
          <cell r="AE61">
            <v>11820.9</v>
          </cell>
          <cell r="AF61">
            <v>15874.65</v>
          </cell>
          <cell r="AG61">
            <v>18104.480000000003</v>
          </cell>
          <cell r="AH61">
            <v>18435.80000000001</v>
          </cell>
          <cell r="AI61">
            <v>19114.600000000002</v>
          </cell>
          <cell r="AJ61">
            <v>21710.352163763662</v>
          </cell>
          <cell r="AK61">
            <v>23287.449438994605</v>
          </cell>
          <cell r="AL61">
            <v>26227.289928274105</v>
          </cell>
          <cell r="AM61">
            <v>28017.605769283375</v>
          </cell>
          <cell r="AN61">
            <v>30890.104588982962</v>
          </cell>
          <cell r="AO61">
            <v>32994.445954502888</v>
          </cell>
        </row>
        <row r="62">
          <cell r="AC62">
            <v>6785.3000000000011</v>
          </cell>
          <cell r="AD62">
            <v>7710.2</v>
          </cell>
          <cell r="AE62">
            <v>7392.5</v>
          </cell>
          <cell r="AF62">
            <v>9891.869999999999</v>
          </cell>
          <cell r="AG62">
            <v>11026.195000000003</v>
          </cell>
          <cell r="AH62">
            <v>12114.757000000009</v>
          </cell>
          <cell r="AI62">
            <v>12496.590100000001</v>
          </cell>
          <cell r="AJ62">
            <v>13892.887918580811</v>
          </cell>
          <cell r="AK62">
            <v>14788.65300842165</v>
          </cell>
          <cell r="AL62">
            <v>16745.885844564487</v>
          </cell>
          <cell r="AM62">
            <v>17964.174469090729</v>
          </cell>
          <cell r="AN62">
            <v>19858.878452053454</v>
          </cell>
          <cell r="AO62">
            <v>21249.718206177175</v>
          </cell>
        </row>
        <row r="63">
          <cell r="AC63">
            <v>3700.1</v>
          </cell>
          <cell r="AD63">
            <v>4097.8</v>
          </cell>
          <cell r="AE63">
            <v>4428.3999999999996</v>
          </cell>
          <cell r="AF63">
            <v>5982.78</v>
          </cell>
          <cell r="AG63">
            <v>7078.2849999999999</v>
          </cell>
          <cell r="AH63">
            <v>6321.0430000000015</v>
          </cell>
          <cell r="AI63">
            <v>6618.0099</v>
          </cell>
          <cell r="AJ63">
            <v>7817.4642451828513</v>
          </cell>
          <cell r="AK63">
            <v>8498.7964305729547</v>
          </cell>
          <cell r="AL63">
            <v>9481.40408370962</v>
          </cell>
          <cell r="AM63">
            <v>10053.431300192644</v>
          </cell>
          <cell r="AN63">
            <v>11031.22613692951</v>
          </cell>
          <cell r="AO63">
            <v>11744.727748325715</v>
          </cell>
        </row>
        <row r="64">
          <cell r="AC64">
            <v>35.288114902626504</v>
          </cell>
          <cell r="AD64">
            <v>34.703590785907863</v>
          </cell>
          <cell r="AE64">
            <v>37.462460557148773</v>
          </cell>
          <cell r="AF64">
            <v>37.687634058073719</v>
          </cell>
          <cell r="AG64">
            <v>39.096869946002307</v>
          </cell>
          <cell r="AH64">
            <v>34.286784408596304</v>
          </cell>
          <cell r="AI64">
            <v>34.622800895650442</v>
          </cell>
          <cell r="AJ64">
            <v>36.008002938942802</v>
          </cell>
          <cell r="AK64">
            <v>36.495179314664675</v>
          </cell>
          <cell r="AL64">
            <v>36.150910405303726</v>
          </cell>
          <cell r="AM64">
            <v>35.882549647459719</v>
          </cell>
          <cell r="AN64">
            <v>35.711197108940276</v>
          </cell>
          <cell r="AO64">
            <v>35.596075062211682</v>
          </cell>
        </row>
        <row r="65">
          <cell r="AC65">
            <v>6.4126254999243457</v>
          </cell>
          <cell r="AD65">
            <v>10.394400759979476</v>
          </cell>
          <cell r="AE65">
            <v>9.6301461759968703</v>
          </cell>
          <cell r="AF65">
            <v>19.537359226808817</v>
          </cell>
          <cell r="AG65">
            <v>2.8846155248897389</v>
          </cell>
          <cell r="AH65">
            <v>8.9515205074393265</v>
          </cell>
          <cell r="AI65">
            <v>2.2481459151598528</v>
          </cell>
          <cell r="AJ65">
            <v>8.2958599722331172</v>
          </cell>
          <cell r="AK65">
            <v>2.940072280382978</v>
          </cell>
          <cell r="AL65">
            <v>8.8186630932251688</v>
          </cell>
          <cell r="AM65">
            <v>2.0089878274771849</v>
          </cell>
          <cell r="AN65">
            <v>6.428915350605763</v>
          </cell>
          <cell r="AO65">
            <v>2.6268305489157768</v>
          </cell>
        </row>
        <row r="66">
          <cell r="AC66">
            <v>5.1921039434810581</v>
          </cell>
          <cell r="AD66">
            <v>0.32062984179104603</v>
          </cell>
          <cell r="AE66">
            <v>-1.42515773549637</v>
          </cell>
          <cell r="AF66">
            <v>13.019279344531952</v>
          </cell>
          <cell r="AG66">
            <v>14.99383901522198</v>
          </cell>
          <cell r="AH66">
            <v>-18.135196120956273</v>
          </cell>
          <cell r="AI66">
            <v>2.3960552902408949</v>
          </cell>
          <cell r="AJ66">
            <v>9.0753554023675065</v>
          </cell>
          <cell r="AK66">
            <v>5.6104892131112223</v>
          </cell>
          <cell r="AL66">
            <v>2.5207661670166033</v>
          </cell>
          <cell r="AM66">
            <v>3.9449082438164567</v>
          </cell>
          <cell r="AN66">
            <v>3.0979041963016414</v>
          </cell>
          <cell r="AO66">
            <v>3.7428679210158862</v>
          </cell>
        </row>
        <row r="71">
          <cell r="AC71">
            <v>32231.7</v>
          </cell>
          <cell r="AD71">
            <v>30051.9</v>
          </cell>
          <cell r="AE71">
            <v>20417.5</v>
          </cell>
          <cell r="AF71">
            <v>34501.4</v>
          </cell>
          <cell r="AG71">
            <v>62490.520000000004</v>
          </cell>
          <cell r="AH71">
            <v>42275.9</v>
          </cell>
          <cell r="AI71">
            <v>38638.1</v>
          </cell>
          <cell r="AJ71">
            <v>34571.360535963518</v>
          </cell>
          <cell r="AK71">
            <v>30763.704743229875</v>
          </cell>
          <cell r="AL71">
            <v>30261.104636200082</v>
          </cell>
          <cell r="AM71">
            <v>29250.530537650309</v>
          </cell>
          <cell r="AN71">
            <v>30801.892681994948</v>
          </cell>
          <cell r="AO71">
            <v>30831.041674060252</v>
          </cell>
        </row>
        <row r="73">
          <cell r="AC73">
            <v>0.53620885888648051</v>
          </cell>
          <cell r="AD73">
            <v>0.42074392601072858</v>
          </cell>
          <cell r="AE73">
            <v>-6.5034878659918336</v>
          </cell>
          <cell r="AF73">
            <v>1.3975483923105179</v>
          </cell>
          <cell r="AG73">
            <v>-2.4821615905441523</v>
          </cell>
          <cell r="AH73">
            <v>-2.5022281779700344</v>
          </cell>
          <cell r="AI73">
            <v>0.32330242525883529</v>
          </cell>
          <cell r="AJ73">
            <v>-0.19901236074376352</v>
          </cell>
          <cell r="AK73">
            <v>-2.41385501340006</v>
          </cell>
          <cell r="AL73">
            <v>-1.2634050552060903</v>
          </cell>
          <cell r="AM73">
            <v>-3.2096868300091179</v>
          </cell>
          <cell r="AN73">
            <v>4.6551204323813939</v>
          </cell>
          <cell r="AO73">
            <v>-1.0913632743561281</v>
          </cell>
        </row>
        <row r="74">
          <cell r="AC74">
            <v>28.211476529847573</v>
          </cell>
          <cell r="AD74">
            <v>-7.1535531099626439</v>
          </cell>
          <cell r="AE74">
            <v>-27.333336606936712</v>
          </cell>
          <cell r="AF74">
            <v>66.650530051514409</v>
          </cell>
          <cell r="AG74">
            <v>85.734830672761717</v>
          </cell>
          <cell r="AH74">
            <v>-30.612053849230904</v>
          </cell>
          <cell r="AI74">
            <v>-8.8994328996358831</v>
          </cell>
          <cell r="AJ74">
            <v>-10.346784617262259</v>
          </cell>
          <cell r="AK74">
            <v>-8.8127746566814409</v>
          </cell>
          <cell r="AL74">
            <v>-0.37507745374367119</v>
          </cell>
          <cell r="AM74">
            <v>-0.13413333090259982</v>
          </cell>
          <cell r="AN74">
            <v>0.6197361094216518</v>
          </cell>
          <cell r="AO74">
            <v>1.1990833995223227</v>
          </cell>
        </row>
        <row r="78">
          <cell r="AC78">
            <v>3064</v>
          </cell>
          <cell r="AD78">
            <v>3593.4</v>
          </cell>
          <cell r="AE78">
            <v>3883.8</v>
          </cell>
          <cell r="AF78">
            <v>4496.25</v>
          </cell>
          <cell r="AG78">
            <v>4894.6499999999996</v>
          </cell>
          <cell r="AH78">
            <v>4547.6000000000004</v>
          </cell>
          <cell r="AI78">
            <v>4637.3999999999996</v>
          </cell>
          <cell r="AJ78">
            <v>5455.1964486771494</v>
          </cell>
          <cell r="AK78">
            <v>6223.8878430583645</v>
          </cell>
          <cell r="AL78">
            <v>7308.6195808706716</v>
          </cell>
          <cell r="AM78">
            <v>8253.273764568863</v>
          </cell>
          <cell r="AN78">
            <v>9232.4417967077025</v>
          </cell>
          <cell r="AO78">
            <v>10422.468083482587</v>
          </cell>
        </row>
        <row r="79">
          <cell r="AC79">
            <v>2395.355</v>
          </cell>
          <cell r="AD79">
            <v>2795.96</v>
          </cell>
          <cell r="AE79">
            <v>2780.6750000000002</v>
          </cell>
          <cell r="AF79">
            <v>3445.25</v>
          </cell>
          <cell r="AG79">
            <v>3746.5099999999993</v>
          </cell>
          <cell r="AH79">
            <v>3365.1600000000003</v>
          </cell>
          <cell r="AI79">
            <v>3431.7</v>
          </cell>
          <cell r="AJ79">
            <v>4036.8736043742988</v>
          </cell>
          <cell r="AK79">
            <v>4605.7092144355429</v>
          </cell>
          <cell r="AL79">
            <v>5408.4163142437319</v>
          </cell>
          <cell r="AM79">
            <v>6107.4652990621826</v>
          </cell>
          <cell r="AN79">
            <v>6832.054710346707</v>
          </cell>
          <cell r="AO79">
            <v>7712.6803213195308</v>
          </cell>
        </row>
        <row r="80">
          <cell r="AC80">
            <v>668.64499999999998</v>
          </cell>
          <cell r="AD80">
            <v>797.44</v>
          </cell>
          <cell r="AE80">
            <v>1103.125</v>
          </cell>
          <cell r="AF80">
            <v>1051</v>
          </cell>
          <cell r="AG80">
            <v>1148.1400000000001</v>
          </cell>
          <cell r="AH80">
            <v>1182.44</v>
          </cell>
          <cell r="AI80">
            <v>1205.7</v>
          </cell>
          <cell r="AJ80">
            <v>1418.3228443028506</v>
          </cell>
          <cell r="AK80">
            <v>1618.1786286228212</v>
          </cell>
          <cell r="AL80">
            <v>1900.2032666269397</v>
          </cell>
          <cell r="AM80">
            <v>2145.8084655066805</v>
          </cell>
          <cell r="AN80">
            <v>2400.387086360995</v>
          </cell>
          <cell r="AO80">
            <v>2709.787762163056</v>
          </cell>
        </row>
        <row r="81">
          <cell r="AC81">
            <v>21.822617493472585</v>
          </cell>
          <cell r="AD81">
            <v>22.19179607057383</v>
          </cell>
          <cell r="AE81">
            <v>28.403239095730981</v>
          </cell>
          <cell r="AF81">
            <v>23.375034751181538</v>
          </cell>
          <cell r="AG81">
            <v>23.457039829201275</v>
          </cell>
          <cell r="AH81">
            <v>26.001407335737532</v>
          </cell>
          <cell r="AI81">
            <v>25.999482468624663</v>
          </cell>
          <cell r="AJ81">
            <v>25.999482468624663</v>
          </cell>
          <cell r="AK81">
            <v>25.999482468624663</v>
          </cell>
          <cell r="AL81">
            <v>25.999482468624663</v>
          </cell>
          <cell r="AM81">
            <v>25.999482468624663</v>
          </cell>
          <cell r="AN81">
            <v>25.999482468624663</v>
          </cell>
          <cell r="AO81">
            <v>25.999482468624663</v>
          </cell>
        </row>
        <row r="82">
          <cell r="AC82">
            <v>1.3</v>
          </cell>
          <cell r="AD82">
            <v>13</v>
          </cell>
          <cell r="AE82">
            <v>6.6</v>
          </cell>
          <cell r="AF82">
            <v>12.6</v>
          </cell>
          <cell r="AG82">
            <v>8.1999999999999993</v>
          </cell>
          <cell r="AH82">
            <v>9.17</v>
          </cell>
          <cell r="AI82">
            <v>10.46</v>
          </cell>
          <cell r="AJ82">
            <v>11.046250628799001</v>
          </cell>
          <cell r="AK82">
            <v>8.8068407865309979</v>
          </cell>
          <cell r="AL82">
            <v>12.348953175132692</v>
          </cell>
          <cell r="AM82">
            <v>8.3695922858053819</v>
          </cell>
          <cell r="AN82">
            <v>7.3878835933724076</v>
          </cell>
          <cell r="AO82">
            <v>8.6138930707332548</v>
          </cell>
        </row>
        <row r="83">
          <cell r="AC83">
            <v>-4.2969166530335485</v>
          </cell>
          <cell r="AD83">
            <v>5.5416723439565061</v>
          </cell>
          <cell r="AE83">
            <v>29.768566165952393</v>
          </cell>
          <cell r="AF83">
            <v>-15.386511957894513</v>
          </cell>
          <cell r="AG83">
            <v>0.96361004658886884</v>
          </cell>
          <cell r="AH83">
            <v>-5.6632403077495894</v>
          </cell>
          <cell r="AI83">
            <v>-7.6886485252481691</v>
          </cell>
          <cell r="AJ83">
            <v>5.933162415254543</v>
          </cell>
          <cell r="AK83">
            <v>4.8564529527506721</v>
          </cell>
          <cell r="AL83">
            <v>4.5212437674539245</v>
          </cell>
          <cell r="AM83">
            <v>4.2037754897337862</v>
          </cell>
          <cell r="AN83">
            <v>4.1681722431062838</v>
          </cell>
          <cell r="AO83">
            <v>3.9366260789361718</v>
          </cell>
        </row>
        <row r="85">
          <cell r="AC85">
            <v>295.60000000000002</v>
          </cell>
          <cell r="AD85">
            <v>433.7</v>
          </cell>
          <cell r="AE85">
            <v>429.3</v>
          </cell>
          <cell r="AF85">
            <v>493.5</v>
          </cell>
          <cell r="AG85">
            <v>560.46</v>
          </cell>
          <cell r="AH85">
            <v>704.9</v>
          </cell>
          <cell r="AI85">
            <v>785</v>
          </cell>
          <cell r="AJ85">
            <v>872.62192753326474</v>
          </cell>
          <cell r="AK85">
            <v>909.27978278321859</v>
          </cell>
          <cell r="AL85">
            <v>977.83962772268933</v>
          </cell>
          <cell r="AM85">
            <v>1070.5764818778375</v>
          </cell>
          <cell r="AN85">
            <v>1181.2688672214881</v>
          </cell>
          <cell r="AO85">
            <v>1203.1788349500816</v>
          </cell>
        </row>
        <row r="86">
          <cell r="AC86">
            <v>161.95600000000002</v>
          </cell>
          <cell r="AD86">
            <v>237.86999999999998</v>
          </cell>
          <cell r="AE86">
            <v>236.38000000000002</v>
          </cell>
          <cell r="AF86">
            <v>284.3</v>
          </cell>
          <cell r="AG86">
            <v>330.92000000000007</v>
          </cell>
          <cell r="AH86">
            <v>427.15999999999997</v>
          </cell>
          <cell r="AI86">
            <v>475.66</v>
          </cell>
          <cell r="AJ86">
            <v>528.75330707066587</v>
          </cell>
          <cell r="AK86">
            <v>550.96563245689913</v>
          </cell>
          <cell r="AL86">
            <v>592.50853162111389</v>
          </cell>
          <cell r="AM86">
            <v>648.70115843313658</v>
          </cell>
          <cell r="AN86">
            <v>715.77369348098478</v>
          </cell>
          <cell r="AO86">
            <v>729.04973838516662</v>
          </cell>
        </row>
        <row r="87">
          <cell r="AC87">
            <v>133.64400000000001</v>
          </cell>
          <cell r="AD87">
            <v>195.83</v>
          </cell>
          <cell r="AE87">
            <v>192.92</v>
          </cell>
          <cell r="AF87">
            <v>209.2</v>
          </cell>
          <cell r="AG87">
            <v>229.54</v>
          </cell>
          <cell r="AH87">
            <v>277.74</v>
          </cell>
          <cell r="AI87">
            <v>309.33999999999997</v>
          </cell>
          <cell r="AJ87">
            <v>343.86862046259887</v>
          </cell>
          <cell r="AK87">
            <v>358.31415032631952</v>
          </cell>
          <cell r="AL87">
            <v>385.33109610157538</v>
          </cell>
          <cell r="AM87">
            <v>421.87532344470094</v>
          </cell>
          <cell r="AN87">
            <v>465.49517374050333</v>
          </cell>
          <cell r="AO87">
            <v>474.12909656491496</v>
          </cell>
        </row>
        <row r="88">
          <cell r="AC88">
            <v>45.21109607577808</v>
          </cell>
          <cell r="AD88">
            <v>45.153331796172473</v>
          </cell>
          <cell r="AE88">
            <v>44.938271604938265</v>
          </cell>
          <cell r="AF88">
            <v>42.391084093211752</v>
          </cell>
          <cell r="AG88">
            <v>40.955643578489095</v>
          </cell>
          <cell r="AH88">
            <v>39.401333522485459</v>
          </cell>
          <cell r="AI88">
            <v>39.406369426751588</v>
          </cell>
          <cell r="AJ88">
            <v>39.406369426751588</v>
          </cell>
          <cell r="AK88">
            <v>39.406369426751588</v>
          </cell>
          <cell r="AL88">
            <v>39.406369426751588</v>
          </cell>
          <cell r="AM88">
            <v>39.406369426751588</v>
          </cell>
          <cell r="AN88">
            <v>39.406369426751588</v>
          </cell>
          <cell r="AO88">
            <v>39.406369426751588</v>
          </cell>
        </row>
        <row r="89">
          <cell r="AC89">
            <v>12.15</v>
          </cell>
          <cell r="AD89">
            <v>41.35</v>
          </cell>
          <cell r="AE89">
            <v>-5</v>
          </cell>
          <cell r="AF89">
            <v>2.7</v>
          </cell>
          <cell r="AG89">
            <v>-2.2000000000000002</v>
          </cell>
          <cell r="AH89">
            <v>13.9</v>
          </cell>
          <cell r="AI89">
            <v>15.7</v>
          </cell>
          <cell r="AJ89">
            <v>4.7433743187322364</v>
          </cell>
          <cell r="AK89">
            <v>3.7914352898430508</v>
          </cell>
          <cell r="AL89">
            <v>3.7449467711940372</v>
          </cell>
          <cell r="AM89">
            <v>3.5260996353207759</v>
          </cell>
          <cell r="AN89">
            <v>3.2827312572987211</v>
          </cell>
          <cell r="AO89">
            <v>-4.6190821138629872</v>
          </cell>
        </row>
        <row r="90">
          <cell r="AC90">
            <v>0.86795621930382083</v>
          </cell>
          <cell r="AD90">
            <v>3.6654280704593134</v>
          </cell>
          <cell r="AE90">
            <v>3.6989655367034118</v>
          </cell>
          <cell r="AF90">
            <v>5.5878588902049842</v>
          </cell>
          <cell r="AG90">
            <v>12.1909543415954</v>
          </cell>
          <cell r="AH90">
            <v>6.2322377319436555</v>
          </cell>
          <cell r="AI90">
            <v>-3.7359141344519458</v>
          </cell>
          <cell r="AJ90">
            <v>6.1279815626954957</v>
          </cell>
          <cell r="AK90">
            <v>0.39449405159217577</v>
          </cell>
          <cell r="AL90">
            <v>3.6580766277724024</v>
          </cell>
          <cell r="AM90">
            <v>5.7548303972367023</v>
          </cell>
          <cell r="AN90">
            <v>6.83248864527188</v>
          </cell>
          <cell r="AO90">
            <v>6.7873791898125972</v>
          </cell>
        </row>
        <row r="92">
          <cell r="AC92">
            <v>56.2</v>
          </cell>
          <cell r="AD92">
            <v>249.1</v>
          </cell>
          <cell r="AE92">
            <v>436.5</v>
          </cell>
          <cell r="AF92">
            <v>678.3</v>
          </cell>
          <cell r="AG92">
            <v>768.7</v>
          </cell>
          <cell r="AH92">
            <v>949</v>
          </cell>
          <cell r="AI92">
            <v>842.3</v>
          </cell>
          <cell r="AJ92">
            <v>896.33223285143174</v>
          </cell>
          <cell r="AK92">
            <v>1000.1698221958274</v>
          </cell>
          <cell r="AL92">
            <v>1089.1970672110642</v>
          </cell>
          <cell r="AM92">
            <v>1192.8993506793624</v>
          </cell>
          <cell r="AN92">
            <v>1307.2443189294581</v>
          </cell>
          <cell r="AO92">
            <v>1343.4160794538946</v>
          </cell>
        </row>
        <row r="93">
          <cell r="AC93">
            <v>39.5</v>
          </cell>
          <cell r="AD93">
            <v>176.29</v>
          </cell>
          <cell r="AE93">
            <v>282.3</v>
          </cell>
          <cell r="AF93">
            <v>407.2</v>
          </cell>
          <cell r="AG93">
            <v>438.46000000000004</v>
          </cell>
          <cell r="AH93">
            <v>547.6</v>
          </cell>
          <cell r="AI93">
            <v>485.99999999999994</v>
          </cell>
          <cell r="AJ93">
            <v>517.17614290133656</v>
          </cell>
          <cell r="AK93">
            <v>577.08955667478574</v>
          </cell>
          <cell r="AL93">
            <v>628.45752661115648</v>
          </cell>
          <cell r="AM93">
            <v>688.29287003463151</v>
          </cell>
          <cell r="AN93">
            <v>754.26895286681304</v>
          </cell>
          <cell r="AO93">
            <v>775.1397537867656</v>
          </cell>
        </row>
        <row r="94">
          <cell r="AC94">
            <v>16.7</v>
          </cell>
          <cell r="AD94">
            <v>72.81</v>
          </cell>
          <cell r="AE94">
            <v>154.19999999999999</v>
          </cell>
          <cell r="AF94">
            <v>271.09999999999997</v>
          </cell>
          <cell r="AG94">
            <v>330.24</v>
          </cell>
          <cell r="AH94">
            <v>401.4</v>
          </cell>
          <cell r="AI94">
            <v>356.3</v>
          </cell>
          <cell r="AJ94">
            <v>379.15608995009518</v>
          </cell>
          <cell r="AK94">
            <v>423.08026552104161</v>
          </cell>
          <cell r="AL94">
            <v>460.73954059990768</v>
          </cell>
          <cell r="AM94">
            <v>504.60648064473099</v>
          </cell>
          <cell r="AN94">
            <v>552.97536606264509</v>
          </cell>
          <cell r="AO94">
            <v>568.27632566712896</v>
          </cell>
        </row>
        <row r="95">
          <cell r="AC95">
            <v>29.715302491103202</v>
          </cell>
          <cell r="AD95">
            <v>29.229225210758731</v>
          </cell>
          <cell r="AE95">
            <v>35.326460481099652</v>
          </cell>
          <cell r="AF95">
            <v>39.967565973757921</v>
          </cell>
          <cell r="AG95">
            <v>42.960842981657343</v>
          </cell>
          <cell r="AH95">
            <v>42.297154899894622</v>
          </cell>
          <cell r="AI95">
            <v>42.300842930072427</v>
          </cell>
          <cell r="AJ95">
            <v>42.300842930072427</v>
          </cell>
          <cell r="AK95">
            <v>42.300842930072427</v>
          </cell>
          <cell r="AL95">
            <v>42.300842930072427</v>
          </cell>
          <cell r="AM95">
            <v>42.300842930072427</v>
          </cell>
          <cell r="AN95">
            <v>42.300842930072427</v>
          </cell>
          <cell r="AO95">
            <v>42.300842930072427</v>
          </cell>
        </row>
        <row r="96">
          <cell r="AC96">
            <v>19.600000000000001</v>
          </cell>
          <cell r="AD96">
            <v>237.3</v>
          </cell>
          <cell r="AE96">
            <v>82.7</v>
          </cell>
          <cell r="AF96">
            <v>50.6</v>
          </cell>
          <cell r="AG96">
            <v>-1.48</v>
          </cell>
          <cell r="AH96">
            <v>15.9</v>
          </cell>
          <cell r="AI96">
            <v>4.0999999999999996</v>
          </cell>
          <cell r="AJ96">
            <v>5.6708311081472402</v>
          </cell>
          <cell r="AK96">
            <v>5.3731663744961224</v>
          </cell>
          <cell r="AL96">
            <v>3.6509723908233411</v>
          </cell>
          <cell r="AM96">
            <v>3.6786180265620487</v>
          </cell>
          <cell r="AN96">
            <v>3.3974129883022783</v>
          </cell>
          <cell r="AO96">
            <v>-3.1501631941561783</v>
          </cell>
        </row>
        <row r="97">
          <cell r="AC97">
            <v>22.591841109228611</v>
          </cell>
          <cell r="AD97">
            <v>29.25823419866461</v>
          </cell>
          <cell r="AE97">
            <v>15.919045205946873</v>
          </cell>
          <cell r="AF97">
            <v>16.740129839483387</v>
          </cell>
          <cell r="AG97">
            <v>23.644771088689524</v>
          </cell>
          <cell r="AH97">
            <v>4.8731364247446436</v>
          </cell>
          <cell r="AI97">
            <v>-14.731676404438431</v>
          </cell>
          <cell r="AJ97">
            <v>0.70408560473357795</v>
          </cell>
          <cell r="AK97">
            <v>5.8948164353307391</v>
          </cell>
          <cell r="AL97">
            <v>5.0653075085368897</v>
          </cell>
          <cell r="AM97">
            <v>5.6350735966614849</v>
          </cell>
          <cell r="AN97">
            <v>5.9847276485554062</v>
          </cell>
          <cell r="AO97">
            <v>6.1096508988733689</v>
          </cell>
        </row>
        <row r="99">
          <cell r="AC99">
            <v>249.6</v>
          </cell>
          <cell r="AD99">
            <v>305.2</v>
          </cell>
          <cell r="AE99">
            <v>240.8</v>
          </cell>
          <cell r="AF99">
            <v>369.3</v>
          </cell>
          <cell r="AG99">
            <v>387.97</v>
          </cell>
          <cell r="AH99">
            <v>370.2</v>
          </cell>
          <cell r="AI99">
            <v>355.4</v>
          </cell>
          <cell r="AJ99">
            <v>333.91600487784933</v>
          </cell>
          <cell r="AK99">
            <v>368.30065719096018</v>
          </cell>
          <cell r="AL99">
            <v>394.38690038694551</v>
          </cell>
          <cell r="AM99">
            <v>412.08321704322373</v>
          </cell>
          <cell r="AN99">
            <v>431.69282374598805</v>
          </cell>
          <cell r="AO99">
            <v>467.20983843828242</v>
          </cell>
        </row>
        <row r="100">
          <cell r="AC100">
            <v>135.55099999999999</v>
          </cell>
          <cell r="AD100">
            <v>166.7</v>
          </cell>
          <cell r="AE100">
            <v>125.48000000000002</v>
          </cell>
          <cell r="AF100">
            <v>208.9</v>
          </cell>
          <cell r="AG100">
            <v>210.67000000000002</v>
          </cell>
          <cell r="AH100">
            <v>195.5</v>
          </cell>
          <cell r="AI100">
            <v>187.7</v>
          </cell>
          <cell r="AJ100">
            <v>176.35350060656253</v>
          </cell>
          <cell r="AK100">
            <v>194.51331838700963</v>
          </cell>
          <cell r="AL100">
            <v>208.29043669845154</v>
          </cell>
          <cell r="AM100">
            <v>217.63652177550111</v>
          </cell>
          <cell r="AN100">
            <v>227.99308671109162</v>
          </cell>
          <cell r="AO100">
            <v>246.75094731250874</v>
          </cell>
        </row>
        <row r="101">
          <cell r="AC101">
            <v>114.04900000000001</v>
          </cell>
          <cell r="AD101">
            <v>138.5</v>
          </cell>
          <cell r="AE101">
            <v>115.32</v>
          </cell>
          <cell r="AF101">
            <v>160.4</v>
          </cell>
          <cell r="AG101">
            <v>177.3</v>
          </cell>
          <cell r="AH101">
            <v>174.7</v>
          </cell>
          <cell r="AI101">
            <v>167.7</v>
          </cell>
          <cell r="AJ101">
            <v>157.5625042712868</v>
          </cell>
          <cell r="AK101">
            <v>173.78733880395055</v>
          </cell>
          <cell r="AL101">
            <v>186.09646368849397</v>
          </cell>
          <cell r="AM101">
            <v>194.44669526772262</v>
          </cell>
          <cell r="AN101">
            <v>203.69973703489643</v>
          </cell>
          <cell r="AO101">
            <v>220.45889112577368</v>
          </cell>
        </row>
        <row r="102">
          <cell r="AC102">
            <v>45.692708333333336</v>
          </cell>
          <cell r="AD102">
            <v>45.380078636959368</v>
          </cell>
          <cell r="AE102">
            <v>47.89036544850498</v>
          </cell>
          <cell r="AF102">
            <v>43.433522881126457</v>
          </cell>
          <cell r="AG102">
            <v>45.699409748176407</v>
          </cell>
          <cell r="AH102">
            <v>47.190707725553757</v>
          </cell>
          <cell r="AI102">
            <v>47.186268992684298</v>
          </cell>
          <cell r="AJ102">
            <v>47.186268992684298</v>
          </cell>
          <cell r="AK102">
            <v>47.186268992684298</v>
          </cell>
          <cell r="AL102">
            <v>47.186268992684298</v>
          </cell>
          <cell r="AM102">
            <v>47.186268992684298</v>
          </cell>
          <cell r="AN102">
            <v>47.186268992684298</v>
          </cell>
          <cell r="AO102">
            <v>47.186268992684298</v>
          </cell>
        </row>
        <row r="103">
          <cell r="AC103">
            <v>30.5</v>
          </cell>
          <cell r="AD103">
            <v>33.200000000000003</v>
          </cell>
          <cell r="AE103">
            <v>-15.3</v>
          </cell>
          <cell r="AF103">
            <v>27.2</v>
          </cell>
          <cell r="AG103">
            <v>-14.62</v>
          </cell>
          <cell r="AH103">
            <v>10.43</v>
          </cell>
          <cell r="AI103">
            <v>-8.7100000000000009</v>
          </cell>
          <cell r="AJ103">
            <v>4.7358289994062375</v>
          </cell>
          <cell r="AK103">
            <v>6.1604580353768199</v>
          </cell>
          <cell r="AL103">
            <v>6.857924551248999</v>
          </cell>
          <cell r="AM103">
            <v>5.2688082021787039</v>
          </cell>
          <cell r="AN103">
            <v>4.758652109995424</v>
          </cell>
          <cell r="AO103">
            <v>8.2273813087967369</v>
          </cell>
        </row>
        <row r="104">
          <cell r="AC104">
            <v>5.6246914815092737</v>
          </cell>
          <cell r="AD104">
            <v>-8.8295566125270852</v>
          </cell>
          <cell r="AE104">
            <v>-1.6959410789407485</v>
          </cell>
          <cell r="AF104">
            <v>9.3484468702893082</v>
          </cell>
          <cell r="AG104">
            <v>29.463761537827963</v>
          </cell>
          <cell r="AH104">
            <v>-10.772834429366753</v>
          </cell>
          <cell r="AI104">
            <v>5.1518579054163638</v>
          </cell>
          <cell r="AJ104">
            <v>-10.29337087988182</v>
          </cell>
          <cell r="AK104">
            <v>3.8968724671615291</v>
          </cell>
          <cell r="AL104">
            <v>0.21050546075930754</v>
          </cell>
          <cell r="AM104">
            <v>-0.74263542902332347</v>
          </cell>
          <cell r="AN104">
            <v>0</v>
          </cell>
          <cell r="AO104">
            <v>0</v>
          </cell>
        </row>
        <row r="106">
          <cell r="AC106">
            <v>103.7</v>
          </cell>
          <cell r="AD106">
            <v>111.7</v>
          </cell>
          <cell r="AE106">
            <v>112.7</v>
          </cell>
          <cell r="AF106">
            <v>130.1</v>
          </cell>
          <cell r="AG106">
            <v>162.30000000000001</v>
          </cell>
          <cell r="AH106">
            <v>125</v>
          </cell>
          <cell r="AI106">
            <v>152.4</v>
          </cell>
          <cell r="AJ106">
            <v>154.78691527418263</v>
          </cell>
          <cell r="AK106">
            <v>180.73954924600756</v>
          </cell>
          <cell r="AL106">
            <v>199.18671192872409</v>
          </cell>
          <cell r="AM106">
            <v>218.01356331412634</v>
          </cell>
          <cell r="AN106">
            <v>237.946440754245</v>
          </cell>
          <cell r="AO106">
            <v>261.93179528016594</v>
          </cell>
        </row>
        <row r="107">
          <cell r="AC107">
            <v>84.300000000000011</v>
          </cell>
          <cell r="AD107">
            <v>90.72</v>
          </cell>
          <cell r="AE107">
            <v>88.62</v>
          </cell>
          <cell r="AF107">
            <v>101.69</v>
          </cell>
          <cell r="AG107">
            <v>124.81</v>
          </cell>
          <cell r="AH107">
            <v>93.4</v>
          </cell>
          <cell r="AI107">
            <v>113.84</v>
          </cell>
          <cell r="AJ107">
            <v>115.62298185572803</v>
          </cell>
          <cell r="AK107">
            <v>135.00912261263451</v>
          </cell>
          <cell r="AL107">
            <v>148.788814212375</v>
          </cell>
          <cell r="AM107">
            <v>162.85212629711378</v>
          </cell>
          <cell r="AN107">
            <v>177.74161952403708</v>
          </cell>
          <cell r="AO107">
            <v>195.65823867909506</v>
          </cell>
        </row>
        <row r="108">
          <cell r="AC108">
            <v>19.399999999999999</v>
          </cell>
          <cell r="AD108">
            <v>20.98</v>
          </cell>
          <cell r="AE108">
            <v>24.08</v>
          </cell>
          <cell r="AF108">
            <v>28.41</v>
          </cell>
          <cell r="AG108">
            <v>37.49</v>
          </cell>
          <cell r="AH108">
            <v>31.6</v>
          </cell>
          <cell r="AI108">
            <v>38.56</v>
          </cell>
          <cell r="AJ108">
            <v>39.163933418454612</v>
          </cell>
          <cell r="AK108">
            <v>45.73042663337305</v>
          </cell>
          <cell r="AL108">
            <v>50.397897716349092</v>
          </cell>
          <cell r="AM108">
            <v>55.161437017012545</v>
          </cell>
          <cell r="AN108">
            <v>60.204821230207926</v>
          </cell>
          <cell r="AO108">
            <v>66.273556601070865</v>
          </cell>
        </row>
        <row r="109">
          <cell r="AC109">
            <v>18.707810993249758</v>
          </cell>
          <cell r="AD109">
            <v>18.782452999104745</v>
          </cell>
          <cell r="AE109">
            <v>21.366459627329188</v>
          </cell>
          <cell r="AF109">
            <v>21.837048424289009</v>
          </cell>
          <cell r="AG109">
            <v>23.099199014171287</v>
          </cell>
          <cell r="AH109">
            <v>25.28</v>
          </cell>
          <cell r="AI109">
            <v>25.30183727034121</v>
          </cell>
          <cell r="AJ109">
            <v>25.30183727034121</v>
          </cell>
          <cell r="AK109">
            <v>25.30183727034121</v>
          </cell>
          <cell r="AL109">
            <v>25.30183727034121</v>
          </cell>
          <cell r="AM109">
            <v>25.30183727034121</v>
          </cell>
          <cell r="AN109">
            <v>25.30183727034121</v>
          </cell>
          <cell r="AO109">
            <v>25.30183727034121</v>
          </cell>
        </row>
        <row r="110">
          <cell r="AC110">
            <v>-1.7</v>
          </cell>
          <cell r="AD110">
            <v>22.6</v>
          </cell>
          <cell r="AE110">
            <v>0.24</v>
          </cell>
          <cell r="AF110">
            <v>10.3</v>
          </cell>
          <cell r="AG110">
            <v>12.74</v>
          </cell>
          <cell r="AH110">
            <v>-29.1</v>
          </cell>
          <cell r="AI110">
            <v>21.73</v>
          </cell>
          <cell r="AJ110">
            <v>8.4062619200490047</v>
          </cell>
          <cell r="AK110">
            <v>7.188310480991106</v>
          </cell>
          <cell r="AL110">
            <v>8.0799051018787935</v>
          </cell>
          <cell r="AM110">
            <v>6.9790602796574461</v>
          </cell>
          <cell r="AN110">
            <v>6.1444151365020332</v>
          </cell>
          <cell r="AO110">
            <v>6.7659812232895717</v>
          </cell>
        </row>
        <row r="111">
          <cell r="AC111">
            <v>2.2035399302381791</v>
          </cell>
          <cell r="AD111">
            <v>-11.790921780662941</v>
          </cell>
          <cell r="AE111">
            <v>14.501174302741092</v>
          </cell>
          <cell r="AF111">
            <v>6.9643949000461021</v>
          </cell>
          <cell r="AG111">
            <v>17.048587246343487</v>
          </cell>
          <cell r="AH111">
            <v>18.884546927605712</v>
          </cell>
          <cell r="AI111">
            <v>0.24259956928958104</v>
          </cell>
          <cell r="AJ111">
            <v>-6.3096397084355829</v>
          </cell>
          <cell r="AK111">
            <v>8.9360249559075129</v>
          </cell>
          <cell r="AL111">
            <v>1.9676036505680514</v>
          </cell>
          <cell r="AM111">
            <v>2.3114811778021789</v>
          </cell>
          <cell r="AN111">
            <v>2.8249604783462985</v>
          </cell>
          <cell r="AO111">
            <v>3.1041416157505921</v>
          </cell>
        </row>
        <row r="113">
          <cell r="AC113">
            <v>26.1</v>
          </cell>
          <cell r="AD113">
            <v>21.8</v>
          </cell>
          <cell r="AE113">
            <v>25.8</v>
          </cell>
          <cell r="AF113">
            <v>22.4</v>
          </cell>
          <cell r="AG113">
            <v>25.3</v>
          </cell>
          <cell r="AH113">
            <v>24.8</v>
          </cell>
          <cell r="AI113">
            <v>43.6</v>
          </cell>
          <cell r="AJ113">
            <v>47.526555766682435</v>
          </cell>
          <cell r="AK113">
            <v>52.35679141719546</v>
          </cell>
          <cell r="AL113">
            <v>56.509099003350713</v>
          </cell>
          <cell r="AM113">
            <v>61.402147456350967</v>
          </cell>
          <cell r="AN113">
            <v>66.804647169397683</v>
          </cell>
          <cell r="AO113">
            <v>73.434651559646156</v>
          </cell>
        </row>
        <row r="114">
          <cell r="AC114">
            <v>19.200000000000003</v>
          </cell>
          <cell r="AD114">
            <v>16.03</v>
          </cell>
          <cell r="AE114">
            <v>19.03</v>
          </cell>
          <cell r="AF114">
            <v>16.229999999999997</v>
          </cell>
          <cell r="AG114">
            <v>18.560000000000002</v>
          </cell>
          <cell r="AH114">
            <v>18.625</v>
          </cell>
          <cell r="AI114">
            <v>32.650000000000006</v>
          </cell>
          <cell r="AJ114">
            <v>35.590413894086737</v>
          </cell>
          <cell r="AK114">
            <v>39.207551370904397</v>
          </cell>
          <cell r="AL114">
            <v>42.317020239894518</v>
          </cell>
          <cell r="AM114">
            <v>45.98119528554723</v>
          </cell>
          <cell r="AN114">
            <v>50.026874543138405</v>
          </cell>
          <cell r="AO114">
            <v>54.991774619780898</v>
          </cell>
        </row>
        <row r="115">
          <cell r="AC115">
            <v>6.9</v>
          </cell>
          <cell r="AD115">
            <v>5.77</v>
          </cell>
          <cell r="AE115">
            <v>6.77</v>
          </cell>
          <cell r="AF115">
            <v>6.17</v>
          </cell>
          <cell r="AG115">
            <v>6.74</v>
          </cell>
          <cell r="AH115">
            <v>6.1749999999999998</v>
          </cell>
          <cell r="AI115">
            <v>10.95</v>
          </cell>
          <cell r="AJ115">
            <v>11.936141872595702</v>
          </cell>
          <cell r="AK115">
            <v>13.149240046291061</v>
          </cell>
          <cell r="AL115">
            <v>14.192078763456198</v>
          </cell>
          <cell r="AM115">
            <v>15.420952170803739</v>
          </cell>
          <cell r="AN115">
            <v>16.777772626259278</v>
          </cell>
          <cell r="AO115">
            <v>18.442876939865258</v>
          </cell>
        </row>
        <row r="116">
          <cell r="AC116">
            <v>26.436781609195403</v>
          </cell>
          <cell r="AD116">
            <v>26.467889908256875</v>
          </cell>
          <cell r="AE116">
            <v>26.240310077519378</v>
          </cell>
          <cell r="AF116">
            <v>27.544642857142858</v>
          </cell>
          <cell r="AG116">
            <v>26.640316205533598</v>
          </cell>
          <cell r="AH116">
            <v>24.899193548387093</v>
          </cell>
          <cell r="AI116">
            <v>25.114678899082566</v>
          </cell>
          <cell r="AJ116">
            <v>25.114678899082566</v>
          </cell>
          <cell r="AK116">
            <v>25.114678899082566</v>
          </cell>
          <cell r="AL116">
            <v>25.114678899082566</v>
          </cell>
          <cell r="AM116">
            <v>25.114678899082566</v>
          </cell>
          <cell r="AN116">
            <v>25.114678899082566</v>
          </cell>
          <cell r="AO116">
            <v>25.114678899082566</v>
          </cell>
        </row>
        <row r="117">
          <cell r="AC117">
            <v>42.2</v>
          </cell>
          <cell r="AD117">
            <v>-14.9</v>
          </cell>
          <cell r="AE117">
            <v>20.8</v>
          </cell>
          <cell r="AF117">
            <v>-12.599999999999994</v>
          </cell>
          <cell r="AG117">
            <v>3.35</v>
          </cell>
          <cell r="AH117">
            <v>-4.96</v>
          </cell>
          <cell r="AI117">
            <v>9.0399999999999991</v>
          </cell>
          <cell r="AJ117">
            <v>5.0877255963510635</v>
          </cell>
          <cell r="AK117">
            <v>6.42071107544065</v>
          </cell>
          <cell r="AL117">
            <v>2.7273353487562417</v>
          </cell>
          <cell r="AM117">
            <v>1.833866292451745</v>
          </cell>
          <cell r="AN117">
            <v>1.6180150280059564</v>
          </cell>
          <cell r="AO117">
            <v>2.5380695337277643</v>
          </cell>
        </row>
        <row r="118">
          <cell r="AC118">
            <v>2.0681673349912728</v>
          </cell>
          <cell r="AD118">
            <v>-1.7353837769716876</v>
          </cell>
          <cell r="AE118">
            <v>-2.8716700907870063</v>
          </cell>
          <cell r="AF118">
            <v>4.2761679099810834</v>
          </cell>
          <cell r="AG118">
            <v>5.6973871260896232</v>
          </cell>
          <cell r="AH118">
            <v>-3.601419736434579</v>
          </cell>
          <cell r="AI118">
            <v>62.626499653954539</v>
          </cell>
          <cell r="AJ118">
            <v>3.7284432902162195</v>
          </cell>
          <cell r="AK118">
            <v>3.5167253613342098</v>
          </cell>
          <cell r="AL118">
            <v>5.0653075085369323</v>
          </cell>
          <cell r="AM118">
            <v>6.7020945420822642</v>
          </cell>
          <cell r="AN118">
            <v>7.0662044612957544</v>
          </cell>
          <cell r="AO118">
            <v>7.2035648256658646</v>
          </cell>
        </row>
        <row r="120">
          <cell r="AC120">
            <v>57.6</v>
          </cell>
          <cell r="AD120">
            <v>63</v>
          </cell>
          <cell r="AE120">
            <v>67.099999999999994</v>
          </cell>
          <cell r="AF120">
            <v>65.2</v>
          </cell>
          <cell r="AG120">
            <v>69.2</v>
          </cell>
          <cell r="AH120">
            <v>36.9</v>
          </cell>
          <cell r="AI120">
            <v>26.1</v>
          </cell>
          <cell r="AJ120">
            <v>27.946246195575206</v>
          </cell>
          <cell r="AK120">
            <v>30.591246822644873</v>
          </cell>
          <cell r="AL120">
            <v>33.006228750839973</v>
          </cell>
          <cell r="AM120">
            <v>35.875601422749853</v>
          </cell>
          <cell r="AN120">
            <v>39.260951490867086</v>
          </cell>
          <cell r="AO120">
            <v>43.394452347027865</v>
          </cell>
        </row>
        <row r="121">
          <cell r="AC121">
            <v>40.33</v>
          </cell>
          <cell r="AD121">
            <v>44.1</v>
          </cell>
          <cell r="AE121">
            <v>43.199999999999996</v>
          </cell>
          <cell r="AF121">
            <v>43.010000000000005</v>
          </cell>
          <cell r="AG121">
            <v>43.620000000000005</v>
          </cell>
          <cell r="AH121">
            <v>22.589999999999996</v>
          </cell>
          <cell r="AI121">
            <v>15.980000000000002</v>
          </cell>
          <cell r="AJ121">
            <v>17.110383686026509</v>
          </cell>
          <cell r="AK121">
            <v>18.729813188730468</v>
          </cell>
          <cell r="AL121">
            <v>20.208411319479804</v>
          </cell>
          <cell r="AM121">
            <v>21.965214970710448</v>
          </cell>
          <cell r="AN121">
            <v>24.037931219312497</v>
          </cell>
          <cell r="AO121">
            <v>26.56871067070902</v>
          </cell>
        </row>
        <row r="122">
          <cell r="AC122">
            <v>17.27</v>
          </cell>
          <cell r="AD122">
            <v>18.899999999999999</v>
          </cell>
          <cell r="AE122">
            <v>23.9</v>
          </cell>
          <cell r="AF122">
            <v>22.19</v>
          </cell>
          <cell r="AG122">
            <v>25.58</v>
          </cell>
          <cell r="AH122">
            <v>14.31</v>
          </cell>
          <cell r="AI122">
            <v>10.119999999999999</v>
          </cell>
          <cell r="AJ122">
            <v>10.835862509548697</v>
          </cell>
          <cell r="AK122">
            <v>11.861433633914407</v>
          </cell>
          <cell r="AL122">
            <v>12.797817431360169</v>
          </cell>
          <cell r="AM122">
            <v>13.910386452039402</v>
          </cell>
          <cell r="AN122">
            <v>15.22302027155459</v>
          </cell>
          <cell r="AO122">
            <v>16.825741676318845</v>
          </cell>
        </row>
        <row r="123">
          <cell r="AC123">
            <v>29.982638888888886</v>
          </cell>
          <cell r="AD123">
            <v>30</v>
          </cell>
          <cell r="AE123">
            <v>35.618479880774963</v>
          </cell>
          <cell r="AF123">
            <v>34.033742331288344</v>
          </cell>
          <cell r="AG123">
            <v>36.96531791907514</v>
          </cell>
          <cell r="AH123">
            <v>38.780487804878049</v>
          </cell>
          <cell r="AI123">
            <v>38.773946360153246</v>
          </cell>
          <cell r="AJ123">
            <v>38.773946360153246</v>
          </cell>
          <cell r="AK123">
            <v>38.773946360153246</v>
          </cell>
          <cell r="AL123">
            <v>38.773946360153246</v>
          </cell>
          <cell r="AM123">
            <v>38.773946360153246</v>
          </cell>
          <cell r="AN123">
            <v>38.773946360153246</v>
          </cell>
          <cell r="AO123">
            <v>38.773946360153246</v>
          </cell>
        </row>
        <row r="124">
          <cell r="AC124">
            <v>9.5</v>
          </cell>
          <cell r="AD124">
            <v>20.349</v>
          </cell>
          <cell r="AE124">
            <v>5.7</v>
          </cell>
          <cell r="AF124">
            <v>-15.400000000000006</v>
          </cell>
          <cell r="AG124">
            <v>-14.86</v>
          </cell>
          <cell r="AH124">
            <v>-51.1</v>
          </cell>
          <cell r="AI124">
            <v>-29.1</v>
          </cell>
          <cell r="AJ124">
            <v>4.7247035756833355</v>
          </cell>
          <cell r="AK124">
            <v>4.6883418424438474</v>
          </cell>
          <cell r="AL124">
            <v>2.5299731779668377</v>
          </cell>
          <cell r="AM124">
            <v>1.8662550950840426</v>
          </cell>
          <cell r="AN124">
            <v>2.2137267544859469</v>
          </cell>
          <cell r="AO124">
            <v>3.101305413427653</v>
          </cell>
        </row>
        <row r="125">
          <cell r="AC125">
            <v>-9.3581063349603681</v>
          </cell>
          <cell r="AD125">
            <v>-9.0658564938066064</v>
          </cell>
          <cell r="AE125">
            <v>19.63578661781122</v>
          </cell>
          <cell r="AF125">
            <v>9.7460854426936692</v>
          </cell>
          <cell r="AG125">
            <v>35.397171564730797</v>
          </cell>
          <cell r="AH125">
            <v>14.401108995236896</v>
          </cell>
          <cell r="AI125">
            <v>-0.25419410415553045</v>
          </cell>
          <cell r="AJ125">
            <v>2.2430587598186236</v>
          </cell>
          <cell r="AK125">
            <v>4.5623598804444612</v>
          </cell>
          <cell r="AL125">
            <v>5.2320142618500682</v>
          </cell>
          <cell r="AM125">
            <v>6.7020945420822784</v>
          </cell>
          <cell r="AN125">
            <v>7.0662044612957544</v>
          </cell>
          <cell r="AO125">
            <v>7.2035648256658646</v>
          </cell>
        </row>
        <row r="127">
          <cell r="AC127">
            <v>76.7</v>
          </cell>
          <cell r="AD127">
            <v>107.3</v>
          </cell>
          <cell r="AE127">
            <v>104.3</v>
          </cell>
          <cell r="AF127">
            <v>125.4</v>
          </cell>
          <cell r="AG127">
            <v>153.9</v>
          </cell>
          <cell r="AH127">
            <v>168.6</v>
          </cell>
          <cell r="AI127">
            <v>227</v>
          </cell>
          <cell r="AJ127">
            <v>246.56769892063809</v>
          </cell>
          <cell r="AK127">
            <v>264.10242731495589</v>
          </cell>
          <cell r="AL127">
            <v>281.25678060622363</v>
          </cell>
          <cell r="AM127">
            <v>301.82684653555998</v>
          </cell>
          <cell r="AN127">
            <v>323.5360854482214</v>
          </cell>
          <cell r="AO127">
            <v>347.61338696068384</v>
          </cell>
        </row>
        <row r="128">
          <cell r="AC128">
            <v>59.61</v>
          </cell>
          <cell r="AD128">
            <v>83.4</v>
          </cell>
          <cell r="AE128">
            <v>79.11</v>
          </cell>
          <cell r="AF128">
            <v>93.410000000000011</v>
          </cell>
          <cell r="AG128">
            <v>114.08000000000001</v>
          </cell>
          <cell r="AH128">
            <v>120.5</v>
          </cell>
          <cell r="AI128">
            <v>162.26</v>
          </cell>
          <cell r="AJ128">
            <v>176.24702566899884</v>
          </cell>
          <cell r="AK128">
            <v>188.78088042345701</v>
          </cell>
          <cell r="AL128">
            <v>201.04284238399049</v>
          </cell>
          <cell r="AM128">
            <v>215.74636175709236</v>
          </cell>
          <cell r="AN128">
            <v>231.26416398602822</v>
          </cell>
          <cell r="AO128">
            <v>248.47466153409937</v>
          </cell>
        </row>
        <row r="129">
          <cell r="AC129">
            <v>17.09</v>
          </cell>
          <cell r="AD129">
            <v>23.9</v>
          </cell>
          <cell r="AE129">
            <v>25.19</v>
          </cell>
          <cell r="AF129">
            <v>31.99</v>
          </cell>
          <cell r="AG129">
            <v>39.82</v>
          </cell>
          <cell r="AH129">
            <v>48.1</v>
          </cell>
          <cell r="AI129">
            <v>64.739999999999995</v>
          </cell>
          <cell r="AJ129">
            <v>70.320673251639249</v>
          </cell>
          <cell r="AK129">
            <v>75.321546891498869</v>
          </cell>
          <cell r="AL129">
            <v>80.213938222233125</v>
          </cell>
          <cell r="AM129">
            <v>86.080484778467635</v>
          </cell>
          <cell r="AN129">
            <v>92.271921462193177</v>
          </cell>
          <cell r="AO129">
            <v>99.138725426584458</v>
          </cell>
        </row>
        <row r="130">
          <cell r="AC130">
            <v>22.281616688396351</v>
          </cell>
          <cell r="AD130">
            <v>22.2739981360671</v>
          </cell>
          <cell r="AE130">
            <v>24.151486097794823</v>
          </cell>
          <cell r="AF130">
            <v>25.5103668261563</v>
          </cell>
          <cell r="AG130">
            <v>25.873944119558157</v>
          </cell>
          <cell r="AH130">
            <v>28.529062870699885</v>
          </cell>
          <cell r="AI130">
            <v>28.519823788546255</v>
          </cell>
          <cell r="AJ130">
            <v>28.519823788546255</v>
          </cell>
          <cell r="AK130">
            <v>28.519823788546255</v>
          </cell>
          <cell r="AL130">
            <v>28.519823788546255</v>
          </cell>
          <cell r="AM130">
            <v>28.519823788546255</v>
          </cell>
          <cell r="AN130">
            <v>28.519823788546255</v>
          </cell>
          <cell r="AO130">
            <v>28.519823788546255</v>
          </cell>
        </row>
        <row r="131">
          <cell r="AC131">
            <v>5.0999999999999996</v>
          </cell>
          <cell r="AD131">
            <v>39.799999999999997</v>
          </cell>
          <cell r="AE131">
            <v>-2.75</v>
          </cell>
          <cell r="AF131">
            <v>20.76</v>
          </cell>
          <cell r="AG131">
            <v>21.45</v>
          </cell>
          <cell r="AH131">
            <v>9.6999999999999993</v>
          </cell>
          <cell r="AI131">
            <v>33.58</v>
          </cell>
          <cell r="AJ131">
            <v>6.5329204249219259</v>
          </cell>
          <cell r="AK131">
            <v>4.7727478695326795</v>
          </cell>
          <cell r="AL131">
            <v>5.3189011856898105</v>
          </cell>
          <cell r="AM131">
            <v>6.2287283958400366</v>
          </cell>
          <cell r="AN131">
            <v>6.0904108951537808</v>
          </cell>
          <cell r="AO131">
            <v>6.3205406317301822</v>
          </cell>
        </row>
        <row r="132">
          <cell r="AC132">
            <v>1.3127980768945662</v>
          </cell>
          <cell r="AD132">
            <v>3.4237659583908453E-2</v>
          </cell>
          <cell r="AE132">
            <v>8.3778812748061426</v>
          </cell>
          <cell r="AF132">
            <v>5.1630003493817753</v>
          </cell>
          <cell r="AG132">
            <v>2.4918887399327758</v>
          </cell>
          <cell r="AH132">
            <v>10.112644548599974</v>
          </cell>
          <cell r="AI132">
            <v>0.75954079547430808</v>
          </cell>
          <cell r="AJ132">
            <v>1.9592171601542703</v>
          </cell>
          <cell r="AK132">
            <v>2.232239912052802</v>
          </cell>
          <cell r="AL132">
            <v>1.117026306955988</v>
          </cell>
          <cell r="AM132">
            <v>1.0212835237518321</v>
          </cell>
          <cell r="AN132">
            <v>1.0389277680942726</v>
          </cell>
          <cell r="AO132">
            <v>1.0547170513436228</v>
          </cell>
        </row>
        <row r="134">
          <cell r="AC134">
            <v>111.8</v>
          </cell>
          <cell r="AD134">
            <v>92.6</v>
          </cell>
          <cell r="AE134">
            <v>85.8</v>
          </cell>
          <cell r="AF134">
            <v>88.6</v>
          </cell>
          <cell r="AG134">
            <v>90.7</v>
          </cell>
          <cell r="AH134">
            <v>122.3</v>
          </cell>
          <cell r="AI134">
            <v>141.5</v>
          </cell>
          <cell r="AJ134">
            <v>148.49516484730168</v>
          </cell>
          <cell r="AK134">
            <v>158.07431135421209</v>
          </cell>
          <cell r="AL134">
            <v>172.28391947805918</v>
          </cell>
          <cell r="AM134">
            <v>189.43361854519802</v>
          </cell>
          <cell r="AN134">
            <v>211.80075376716593</v>
          </cell>
          <cell r="AO134">
            <v>237.49273469661131</v>
          </cell>
        </row>
        <row r="135">
          <cell r="AC135">
            <v>59.599999999999994</v>
          </cell>
          <cell r="AD135">
            <v>49.399999999999991</v>
          </cell>
          <cell r="AE135">
            <v>48.589999999999996</v>
          </cell>
          <cell r="AF135">
            <v>50.084999999999994</v>
          </cell>
          <cell r="AG135">
            <v>51.24</v>
          </cell>
          <cell r="AH135">
            <v>66.759999999999991</v>
          </cell>
          <cell r="AI135">
            <v>77.260000000000005</v>
          </cell>
          <cell r="AJ135">
            <v>81.079409442420697</v>
          </cell>
          <cell r="AK135">
            <v>86.309691132342238</v>
          </cell>
          <cell r="AL135">
            <v>94.068237589221567</v>
          </cell>
          <cell r="AM135">
            <v>103.43209447916607</v>
          </cell>
          <cell r="AN135">
            <v>115.64470838198757</v>
          </cell>
          <cell r="AO135">
            <v>129.67271153823455</v>
          </cell>
        </row>
        <row r="136">
          <cell r="AC136">
            <v>52.2</v>
          </cell>
          <cell r="AD136">
            <v>43.2</v>
          </cell>
          <cell r="AE136">
            <v>37.21</v>
          </cell>
          <cell r="AF136">
            <v>38.515000000000001</v>
          </cell>
          <cell r="AG136">
            <v>39.46</v>
          </cell>
          <cell r="AH136">
            <v>55.54</v>
          </cell>
          <cell r="AI136">
            <v>64.239999999999995</v>
          </cell>
          <cell r="AJ136">
            <v>67.415755404880983</v>
          </cell>
          <cell r="AK136">
            <v>71.764620221869848</v>
          </cell>
          <cell r="AL136">
            <v>78.215681888837608</v>
          </cell>
          <cell r="AM136">
            <v>86.001524066031948</v>
          </cell>
          <cell r="AN136">
            <v>96.156045385178359</v>
          </cell>
          <cell r="AO136">
            <v>107.82002315837676</v>
          </cell>
        </row>
        <row r="137">
          <cell r="AC137">
            <v>46.690518783542046</v>
          </cell>
          <cell r="AD137">
            <v>46.652267818574522</v>
          </cell>
          <cell r="AE137">
            <v>43.368298368298369</v>
          </cell>
          <cell r="AF137">
            <v>43.47065462753951</v>
          </cell>
          <cell r="AG137">
            <v>43.506063947078275</v>
          </cell>
          <cell r="AH137">
            <v>45.412919051512674</v>
          </cell>
          <cell r="AI137">
            <v>45.399293286219077</v>
          </cell>
          <cell r="AJ137">
            <v>45.399293286219077</v>
          </cell>
          <cell r="AK137">
            <v>45.399293286219077</v>
          </cell>
          <cell r="AL137">
            <v>45.399293286219077</v>
          </cell>
          <cell r="AM137">
            <v>45.399293286219077</v>
          </cell>
          <cell r="AN137">
            <v>45.399293286219077</v>
          </cell>
          <cell r="AO137">
            <v>45.399293286219077</v>
          </cell>
        </row>
        <row r="138">
          <cell r="AC138">
            <v>82.1</v>
          </cell>
          <cell r="AD138">
            <v>-22.6</v>
          </cell>
          <cell r="AE138">
            <v>-6.2</v>
          </cell>
          <cell r="AF138">
            <v>-0.40000000000000568</v>
          </cell>
          <cell r="AG138">
            <v>-13.2</v>
          </cell>
          <cell r="AH138">
            <v>26.4</v>
          </cell>
          <cell r="AI138">
            <v>12.45</v>
          </cell>
          <cell r="AJ138">
            <v>3.1464869797796098</v>
          </cell>
          <cell r="AK138">
            <v>3.6340688330204927</v>
          </cell>
          <cell r="AL138">
            <v>3.7347128222618124</v>
          </cell>
          <cell r="AM138">
            <v>3.0479525211331406</v>
          </cell>
          <cell r="AN138">
            <v>4.4282593607276652</v>
          </cell>
          <cell r="AO138">
            <v>4.5956443921498931</v>
          </cell>
        </row>
        <row r="139">
          <cell r="AC139">
            <v>-7.3511041725015929</v>
          </cell>
          <cell r="AD139">
            <v>6.9232825447741249</v>
          </cell>
          <cell r="AE139">
            <v>-8.1724314933269966</v>
          </cell>
          <cell r="AF139">
            <v>3.9228129934410987</v>
          </cell>
          <cell r="AG139">
            <v>18.034089297903577</v>
          </cell>
          <cell r="AH139">
            <v>11.352948346988128</v>
          </cell>
          <cell r="AI139">
            <v>2.8585024705094213</v>
          </cell>
          <cell r="AJ139">
            <v>1.7422720542668912</v>
          </cell>
          <cell r="AK139">
            <v>2.7179719422707933</v>
          </cell>
          <cell r="AL139">
            <v>5.0653075085369039</v>
          </cell>
          <cell r="AM139">
            <v>6.7020945420822642</v>
          </cell>
          <cell r="AN139">
            <v>7.0662044612957544</v>
          </cell>
          <cell r="AO139">
            <v>7.2035648256658931</v>
          </cell>
        </row>
        <row r="141">
          <cell r="AC141">
            <v>2833.4</v>
          </cell>
          <cell r="AD141">
            <v>2919.7</v>
          </cell>
          <cell r="AE141">
            <v>2712.3</v>
          </cell>
          <cell r="AF141">
            <v>3690.2</v>
          </cell>
          <cell r="AG141">
            <v>4431.6000000000004</v>
          </cell>
          <cell r="AH141">
            <v>4529.8</v>
          </cell>
          <cell r="AI141">
            <v>4741.2</v>
          </cell>
          <cell r="AJ141">
            <v>5689.2211159850931</v>
          </cell>
          <cell r="AK141">
            <v>5513.3672465747431</v>
          </cell>
          <cell r="AL141">
            <v>5983.9657670768993</v>
          </cell>
          <cell r="AM141">
            <v>5462.0348169715207</v>
          </cell>
          <cell r="AN141">
            <v>5924.7924971027151</v>
          </cell>
          <cell r="AO141">
            <v>6235.383131685724</v>
          </cell>
        </row>
        <row r="142">
          <cell r="AC142">
            <v>1537.8600000000001</v>
          </cell>
          <cell r="AD142">
            <v>1581.4599999999998</v>
          </cell>
          <cell r="AE142">
            <v>1365.0000000000002</v>
          </cell>
          <cell r="AF142">
            <v>1598.5</v>
          </cell>
          <cell r="AG142">
            <v>1839.6000000000004</v>
          </cell>
          <cell r="AH142">
            <v>2890</v>
          </cell>
          <cell r="AI142">
            <v>2943.6</v>
          </cell>
          <cell r="AJ142">
            <v>3190.830837700837</v>
          </cell>
          <cell r="AK142">
            <v>2871.667541565721</v>
          </cell>
          <cell r="AL142">
            <v>3116.7813596728806</v>
          </cell>
          <cell r="AM142">
            <v>2735.6900679849664</v>
          </cell>
          <cell r="AN142">
            <v>2967.4647878174183</v>
          </cell>
          <cell r="AO142">
            <v>3123.0258090686521</v>
          </cell>
        </row>
        <row r="143">
          <cell r="AC143">
            <v>1295.54</v>
          </cell>
          <cell r="AD143">
            <v>1338.24</v>
          </cell>
          <cell r="AE143">
            <v>1347.3</v>
          </cell>
          <cell r="AF143">
            <v>2091.6999999999998</v>
          </cell>
          <cell r="AG143">
            <v>2592</v>
          </cell>
          <cell r="AH143">
            <v>1639.8</v>
          </cell>
          <cell r="AI143">
            <v>1797.6</v>
          </cell>
          <cell r="AJ143">
            <v>2498.3902782842561</v>
          </cell>
          <cell r="AK143">
            <v>2641.6997050090222</v>
          </cell>
          <cell r="AL143">
            <v>2867.1844074040187</v>
          </cell>
          <cell r="AM143">
            <v>2726.3447489865544</v>
          </cell>
          <cell r="AN143">
            <v>2957.3277092852968</v>
          </cell>
          <cell r="AO143">
            <v>3112.357322617072</v>
          </cell>
        </row>
        <row r="144">
          <cell r="AC144">
            <v>45.723865320815975</v>
          </cell>
          <cell r="AD144">
            <v>45.83484604582663</v>
          </cell>
          <cell r="AE144">
            <v>49.673708660546396</v>
          </cell>
          <cell r="AF144">
            <v>56.682564630643327</v>
          </cell>
          <cell r="AG144">
            <v>58.489033306255067</v>
          </cell>
          <cell r="AH144">
            <v>36.200273742770101</v>
          </cell>
          <cell r="AI144">
            <v>37.914452037458872</v>
          </cell>
          <cell r="AJ144">
            <v>43.914452037458872</v>
          </cell>
          <cell r="AK144">
            <v>47.914452037458872</v>
          </cell>
          <cell r="AL144">
            <v>47.914452037458872</v>
          </cell>
          <cell r="AM144">
            <v>49.914452037458872</v>
          </cell>
          <cell r="AN144">
            <v>49.914452037458872</v>
          </cell>
          <cell r="AO144">
            <v>49.914452037458872</v>
          </cell>
        </row>
        <row r="145">
          <cell r="AC145">
            <v>3</v>
          </cell>
          <cell r="AD145">
            <v>-3.2</v>
          </cell>
          <cell r="AE145">
            <v>-2.9</v>
          </cell>
          <cell r="AF145">
            <v>13.5</v>
          </cell>
          <cell r="AG145">
            <v>-3.9</v>
          </cell>
          <cell r="AH145">
            <v>9.86</v>
          </cell>
          <cell r="AI145">
            <v>-10.96</v>
          </cell>
          <cell r="AJ145">
            <v>11.498956939506732</v>
          </cell>
          <cell r="AK145">
            <v>-5.5000616601634036</v>
          </cell>
          <cell r="AL145">
            <v>8.4799837215928608</v>
          </cell>
          <cell r="AM145">
            <v>-8.0780027157794088</v>
          </cell>
          <cell r="AN145">
            <v>8.5093652469927559</v>
          </cell>
          <cell r="AO145">
            <v>2.3416390726593295E-3</v>
          </cell>
        </row>
        <row r="146">
          <cell r="AC146">
            <v>17.157770607555747</v>
          </cell>
          <cell r="AD146">
            <v>6.7106641896796333</v>
          </cell>
          <cell r="AE146">
            <v>3.6838399673752633</v>
          </cell>
          <cell r="AF146">
            <v>36.785236323519939</v>
          </cell>
          <cell r="AG146">
            <v>28.947288169379846</v>
          </cell>
          <cell r="AH146">
            <v>-42.414082569735221</v>
          </cell>
          <cell r="AI146">
            <v>23.116716948914615</v>
          </cell>
          <cell r="AJ146">
            <v>7.620184669216485</v>
          </cell>
          <cell r="AK146">
            <v>2.5492724297191245</v>
          </cell>
          <cell r="AL146">
            <v>5.1261106799231015E-2</v>
          </cell>
          <cell r="AM146">
            <v>-0.70076295543023548</v>
          </cell>
          <cell r="AN146">
            <v>-3.4197303089499087E-2</v>
          </cell>
          <cell r="AO146">
            <v>5.2397552823331637</v>
          </cell>
        </row>
        <row r="148">
          <cell r="AC148">
            <v>529.29999999999995</v>
          </cell>
          <cell r="AD148">
            <v>601.4</v>
          </cell>
          <cell r="AE148">
            <v>655.4</v>
          </cell>
          <cell r="AF148">
            <v>1710.4</v>
          </cell>
          <cell r="AG148">
            <v>1827.4</v>
          </cell>
          <cell r="AH148">
            <v>1622.2</v>
          </cell>
          <cell r="AI148">
            <v>1556.5</v>
          </cell>
          <cell r="AJ148">
            <v>1584.643791503222</v>
          </cell>
          <cell r="AK148">
            <v>1601.4423515353044</v>
          </cell>
          <cell r="AL148">
            <v>1668.2345033433028</v>
          </cell>
          <cell r="AM148">
            <v>1743.0845804998323</v>
          </cell>
          <cell r="AN148">
            <v>1805.3734957853919</v>
          </cell>
          <cell r="AO148">
            <v>1653.9390237325922</v>
          </cell>
        </row>
        <row r="149">
          <cell r="AC149">
            <v>343.55999999999995</v>
          </cell>
          <cell r="AD149">
            <v>387.09999999999997</v>
          </cell>
          <cell r="AE149">
            <v>416.96</v>
          </cell>
          <cell r="AF149">
            <v>1067.7</v>
          </cell>
          <cell r="AG149">
            <v>1112.2</v>
          </cell>
          <cell r="AH149">
            <v>996</v>
          </cell>
          <cell r="AI149">
            <v>955.7</v>
          </cell>
          <cell r="AJ149">
            <v>972.98045071611261</v>
          </cell>
          <cell r="AK149">
            <v>983.29486370850645</v>
          </cell>
          <cell r="AL149">
            <v>1024.3056311244422</v>
          </cell>
          <cell r="AM149">
            <v>1070.2640112969416</v>
          </cell>
          <cell r="AN149">
            <v>1108.5097654494693</v>
          </cell>
          <cell r="AO149">
            <v>1015.5281239840915</v>
          </cell>
        </row>
        <row r="150">
          <cell r="AC150">
            <v>185.74</v>
          </cell>
          <cell r="AD150">
            <v>214.3</v>
          </cell>
          <cell r="AE150">
            <v>238.44</v>
          </cell>
          <cell r="AF150">
            <v>642.70000000000005</v>
          </cell>
          <cell r="AG150">
            <v>715.2</v>
          </cell>
          <cell r="AH150">
            <v>626.20000000000005</v>
          </cell>
          <cell r="AI150">
            <v>600.79999999999995</v>
          </cell>
          <cell r="AJ150">
            <v>611.66334078710941</v>
          </cell>
          <cell r="AK150">
            <v>618.14748782679794</v>
          </cell>
          <cell r="AL150">
            <v>643.92887221886042</v>
          </cell>
          <cell r="AM150">
            <v>672.82056920289062</v>
          </cell>
          <cell r="AN150">
            <v>696.86373033592258</v>
          </cell>
          <cell r="AO150">
            <v>638.4108997485007</v>
          </cell>
        </row>
        <row r="151">
          <cell r="AC151">
            <v>35.091630455318352</v>
          </cell>
          <cell r="AD151">
            <v>35.633521782507486</v>
          </cell>
          <cell r="AE151">
            <v>36.380836130607264</v>
          </cell>
          <cell r="AF151">
            <v>37.57600561272217</v>
          </cell>
          <cell r="AG151">
            <v>39.137572507387546</v>
          </cell>
          <cell r="AH151">
            <v>38.601898656145977</v>
          </cell>
          <cell r="AI151">
            <v>38.599421779633794</v>
          </cell>
          <cell r="AJ151">
            <v>38.599421779633794</v>
          </cell>
          <cell r="AK151">
            <v>38.599421779633794</v>
          </cell>
          <cell r="AL151">
            <v>38.599421779633794</v>
          </cell>
          <cell r="AM151">
            <v>38.599421779633794</v>
          </cell>
          <cell r="AN151">
            <v>38.599421779633794</v>
          </cell>
          <cell r="AO151">
            <v>38.599421779633794</v>
          </cell>
        </row>
        <row r="152">
          <cell r="AC152">
            <v>1.41</v>
          </cell>
          <cell r="AD152">
            <v>25.6</v>
          </cell>
          <cell r="AE152">
            <v>18.600000000000001</v>
          </cell>
          <cell r="AF152">
            <v>81.2</v>
          </cell>
          <cell r="AG152">
            <v>4.9000000000000004</v>
          </cell>
          <cell r="AH152">
            <v>7.56</v>
          </cell>
          <cell r="AI152">
            <v>6.5</v>
          </cell>
          <cell r="AJ152">
            <v>3.6448679772484525</v>
          </cell>
          <cell r="AK152">
            <v>2.5319575907960683</v>
          </cell>
          <cell r="AL152">
            <v>2.9484765338549437</v>
          </cell>
          <cell r="AM152">
            <v>1.1520406762124651</v>
          </cell>
          <cell r="AN152">
            <v>2.0683930505182957</v>
          </cell>
          <cell r="AO152">
            <v>-8.6509308590035658</v>
          </cell>
        </row>
        <row r="153">
          <cell r="AC153">
            <v>-0.37613501378463354</v>
          </cell>
          <cell r="AD153">
            <v>-8.1398626530202165</v>
          </cell>
          <cell r="AE153">
            <v>-6.1850064408297527</v>
          </cell>
          <cell r="AF153">
            <v>48.754801722602394</v>
          </cell>
          <cell r="AG153">
            <v>6.0824930809800151</v>
          </cell>
          <cell r="AH153">
            <v>-18.59805837520166</v>
          </cell>
          <cell r="AI153">
            <v>-9.9119362186105064</v>
          </cell>
          <cell r="AJ153">
            <v>-1.7721302332585225</v>
          </cell>
          <cell r="AK153">
            <v>-1.4355263726294964</v>
          </cell>
          <cell r="AL153">
            <v>1.1872668647380493</v>
          </cell>
          <cell r="AM153">
            <v>3.2967631738009828</v>
          </cell>
          <cell r="AN153">
            <v>1.4745943683034142</v>
          </cell>
          <cell r="AO153">
            <v>0.2878464818763149</v>
          </cell>
        </row>
        <row r="155">
          <cell r="AC155">
            <v>1.4</v>
          </cell>
          <cell r="AD155">
            <v>3.5</v>
          </cell>
          <cell r="AE155">
            <v>7.2</v>
          </cell>
          <cell r="AF155">
            <v>10.4</v>
          </cell>
          <cell r="AG155">
            <v>16.399999999999999</v>
          </cell>
          <cell r="AH155">
            <v>21.1</v>
          </cell>
          <cell r="AI155">
            <v>19.8</v>
          </cell>
          <cell r="AJ155">
            <v>22.642946130221208</v>
          </cell>
          <cell r="AK155">
            <v>27.235557186997561</v>
          </cell>
          <cell r="AL155">
            <v>34.309531170308709</v>
          </cell>
          <cell r="AM155">
            <v>43.967395051931867</v>
          </cell>
          <cell r="AN155">
            <v>53.523389370924171</v>
          </cell>
          <cell r="AO155">
            <v>65.781084291411716</v>
          </cell>
        </row>
        <row r="156">
          <cell r="AC156">
            <v>1.0036999999999998</v>
          </cell>
          <cell r="AD156">
            <v>2.3250000000000002</v>
          </cell>
          <cell r="AE156">
            <v>4.8070000000000004</v>
          </cell>
          <cell r="AF156">
            <v>6.8689999999999998</v>
          </cell>
          <cell r="AG156">
            <v>10.009999999999998</v>
          </cell>
          <cell r="AH156">
            <v>12.830000000000002</v>
          </cell>
          <cell r="AI156">
            <v>12.040000000000001</v>
          </cell>
          <cell r="AJ156">
            <v>13.768740980195119</v>
          </cell>
          <cell r="AK156">
            <v>16.561419622800535</v>
          </cell>
          <cell r="AL156">
            <v>20.862967438914993</v>
          </cell>
          <cell r="AM156">
            <v>26.735729112386853</v>
          </cell>
          <cell r="AN156">
            <v>32.546545859895303</v>
          </cell>
          <cell r="AO156">
            <v>40.000214892353384</v>
          </cell>
        </row>
        <row r="157">
          <cell r="AC157">
            <v>0.39629999999999999</v>
          </cell>
          <cell r="AD157">
            <v>1.175</v>
          </cell>
          <cell r="AE157">
            <v>2.3929999999999998</v>
          </cell>
          <cell r="AF157">
            <v>3.5310000000000001</v>
          </cell>
          <cell r="AG157">
            <v>6.39</v>
          </cell>
          <cell r="AH157">
            <v>8.27</v>
          </cell>
          <cell r="AI157">
            <v>7.76</v>
          </cell>
          <cell r="AJ157">
            <v>8.8742051500260892</v>
          </cell>
          <cell r="AK157">
            <v>10.674137564197023</v>
          </cell>
          <cell r="AL157">
            <v>13.446563731393717</v>
          </cell>
          <cell r="AM157">
            <v>17.231665939545014</v>
          </cell>
          <cell r="AN157">
            <v>20.976843511028864</v>
          </cell>
          <cell r="AO157">
            <v>25.780869399058329</v>
          </cell>
        </row>
        <row r="158">
          <cell r="AC158">
            <v>28.307142857142857</v>
          </cell>
          <cell r="AD158">
            <v>33.571428571428577</v>
          </cell>
          <cell r="AE158">
            <v>33.236111111111107</v>
          </cell>
          <cell r="AF158">
            <v>33.95192307692308</v>
          </cell>
          <cell r="AG158">
            <v>38.963414634146346</v>
          </cell>
          <cell r="AH158">
            <v>39.194312796208521</v>
          </cell>
          <cell r="AI158">
            <v>39.19191919191919</v>
          </cell>
          <cell r="AJ158">
            <v>39.19191919191919</v>
          </cell>
          <cell r="AK158">
            <v>39.19191919191919</v>
          </cell>
          <cell r="AL158">
            <v>39.19191919191919</v>
          </cell>
          <cell r="AM158">
            <v>39.19191919191919</v>
          </cell>
          <cell r="AN158">
            <v>39.19191919191919</v>
          </cell>
          <cell r="AO158">
            <v>39.19191919191919</v>
          </cell>
        </row>
        <row r="159">
          <cell r="AC159">
            <v>6.5</v>
          </cell>
          <cell r="AD159">
            <v>145.34</v>
          </cell>
          <cell r="AE159">
            <v>89.84</v>
          </cell>
          <cell r="AF159">
            <v>32.4</v>
          </cell>
          <cell r="AG159">
            <v>40.049999999999997</v>
          </cell>
          <cell r="AH159">
            <v>26.2</v>
          </cell>
          <cell r="AI159">
            <v>-9.65</v>
          </cell>
          <cell r="AJ159">
            <v>12.400000000000006</v>
          </cell>
          <cell r="AK159">
            <v>17.100000000000023</v>
          </cell>
          <cell r="AL159">
            <v>19.900000000000006</v>
          </cell>
          <cell r="AM159">
            <v>20.100000000000009</v>
          </cell>
          <cell r="AN159">
            <v>13.700000000000003</v>
          </cell>
          <cell r="AO159">
            <v>14.643171876108113</v>
          </cell>
        </row>
        <row r="160">
          <cell r="AC160">
            <v>-10.678666333092167</v>
          </cell>
          <cell r="AD160">
            <v>20.84966012241587</v>
          </cell>
          <cell r="AE160">
            <v>7.2795904277734422</v>
          </cell>
          <cell r="AF160">
            <v>11.446653949144235</v>
          </cell>
          <cell r="AG160">
            <v>29.217111136118689</v>
          </cell>
          <cell r="AH160">
            <v>2.5522743787960991</v>
          </cell>
          <cell r="AI160">
            <v>3.8551541800695901</v>
          </cell>
          <cell r="AJ160">
            <v>1.7422720542668912</v>
          </cell>
          <cell r="AK160">
            <v>2.7179719422707933</v>
          </cell>
          <cell r="AL160">
            <v>5.0653075085369039</v>
          </cell>
          <cell r="AM160">
            <v>6.7020945420822642</v>
          </cell>
          <cell r="AN160">
            <v>7.0662044612957544</v>
          </cell>
          <cell r="AO160">
            <v>7.2035648256658931</v>
          </cell>
        </row>
        <row r="162">
          <cell r="AC162">
            <v>334.3</v>
          </cell>
          <cell r="AD162">
            <v>391.5</v>
          </cell>
          <cell r="AE162">
            <v>375.3</v>
          </cell>
          <cell r="AF162">
            <v>393.3</v>
          </cell>
          <cell r="AG162">
            <v>484</v>
          </cell>
          <cell r="AH162">
            <v>632.5</v>
          </cell>
          <cell r="AI162">
            <v>532.79999999999995</v>
          </cell>
          <cell r="AJ162">
            <v>619.95566666805621</v>
          </cell>
          <cell r="AK162">
            <v>670.53378823038383</v>
          </cell>
          <cell r="AL162">
            <v>757.73885294535387</v>
          </cell>
          <cell r="AM162">
            <v>839.2944998784094</v>
          </cell>
          <cell r="AN162">
            <v>912.03108054067332</v>
          </cell>
          <cell r="AO162">
            <v>941.24422825129693</v>
          </cell>
        </row>
        <row r="163">
          <cell r="AC163">
            <v>259.3</v>
          </cell>
          <cell r="AD163">
            <v>299.60000000000002</v>
          </cell>
          <cell r="AE163">
            <v>281.60000000000002</v>
          </cell>
          <cell r="AF163">
            <v>310.09000000000003</v>
          </cell>
          <cell r="AG163">
            <v>364.13</v>
          </cell>
          <cell r="AH163">
            <v>462.4</v>
          </cell>
          <cell r="AI163">
            <v>389.49999999999994</v>
          </cell>
          <cell r="AJ163">
            <v>453.21458740091566</v>
          </cell>
          <cell r="AK163">
            <v>490.18939661361583</v>
          </cell>
          <cell r="AL163">
            <v>553.94009613779144</v>
          </cell>
          <cell r="AM163">
            <v>613.56082526771854</v>
          </cell>
          <cell r="AN163">
            <v>666.73443294030074</v>
          </cell>
          <cell r="AO163">
            <v>688.09051596073596</v>
          </cell>
        </row>
        <row r="164">
          <cell r="AC164">
            <v>75</v>
          </cell>
          <cell r="AD164">
            <v>91.9</v>
          </cell>
          <cell r="AE164">
            <v>93.699999999999989</v>
          </cell>
          <cell r="AF164">
            <v>83.21</v>
          </cell>
          <cell r="AG164">
            <v>119.87</v>
          </cell>
          <cell r="AH164">
            <v>170.1</v>
          </cell>
          <cell r="AI164">
            <v>143.30000000000001</v>
          </cell>
          <cell r="AJ164">
            <v>166.74107926714052</v>
          </cell>
          <cell r="AK164">
            <v>180.34439161676804</v>
          </cell>
          <cell r="AL164">
            <v>203.7987568075624</v>
          </cell>
          <cell r="AM164">
            <v>225.73367461069085</v>
          </cell>
          <cell r="AN164">
            <v>245.29664760037261</v>
          </cell>
          <cell r="AO164">
            <v>253.15371229056095</v>
          </cell>
        </row>
        <row r="165">
          <cell r="AC165">
            <v>22.434938677834278</v>
          </cell>
          <cell r="AD165">
            <v>23.473818646232441</v>
          </cell>
          <cell r="AE165">
            <v>24.96669331201705</v>
          </cell>
          <cell r="AF165">
            <v>21.156877701500125</v>
          </cell>
          <cell r="AG165">
            <v>24.766528925619834</v>
          </cell>
          <cell r="AH165">
            <v>26.893280632411066</v>
          </cell>
          <cell r="AI165">
            <v>26.895645645645651</v>
          </cell>
          <cell r="AJ165">
            <v>26.895645645645651</v>
          </cell>
          <cell r="AK165">
            <v>26.895645645645651</v>
          </cell>
          <cell r="AL165">
            <v>26.895645645645651</v>
          </cell>
          <cell r="AM165">
            <v>26.895645645645651</v>
          </cell>
          <cell r="AN165">
            <v>26.895645645645651</v>
          </cell>
          <cell r="AO165">
            <v>26.895645645645651</v>
          </cell>
        </row>
        <row r="166">
          <cell r="AC166">
            <v>0.5</v>
          </cell>
          <cell r="AD166">
            <v>22</v>
          </cell>
          <cell r="AE166">
            <v>-5.46</v>
          </cell>
          <cell r="AF166">
            <v>4.5999999999999996</v>
          </cell>
          <cell r="AG166">
            <v>8.44</v>
          </cell>
          <cell r="AH166">
            <v>24.3</v>
          </cell>
          <cell r="AI166">
            <v>-15</v>
          </cell>
          <cell r="AJ166">
            <v>9.5397516880005639</v>
          </cell>
          <cell r="AK166">
            <v>8.3081435180741607</v>
          </cell>
          <cell r="AL166">
            <v>9.2444852114772686</v>
          </cell>
          <cell r="AM166">
            <v>7.2578691446912273</v>
          </cell>
          <cell r="AN166">
            <v>5.1181050223675584</v>
          </cell>
          <cell r="AO166">
            <v>6.686735362817231</v>
          </cell>
        </row>
        <row r="167">
          <cell r="AC167">
            <v>3.9371388184426195</v>
          </cell>
          <cell r="AD167">
            <v>0.43715846994535923</v>
          </cell>
          <cell r="AE167">
            <v>7.8471025040094133</v>
          </cell>
          <cell r="AF167">
            <v>-15.100673195238855</v>
          </cell>
          <cell r="AG167">
            <v>32.845079917835761</v>
          </cell>
          <cell r="AH167">
            <v>14.162292067411997</v>
          </cell>
          <cell r="AI167">
            <v>-0.8887505619531737</v>
          </cell>
          <cell r="AJ167">
            <v>6.2244927094833713</v>
          </cell>
          <cell r="AK167">
            <v>-0.1383077997579818</v>
          </cell>
          <cell r="AL167">
            <v>3.4425854618632172</v>
          </cell>
          <cell r="AM167">
            <v>3.2679738562090961</v>
          </cell>
          <cell r="AN167">
            <v>3.3755274261603603</v>
          </cell>
          <cell r="AO167">
            <v>-3.2653061224489903</v>
          </cell>
        </row>
        <row r="169">
          <cell r="AC169">
            <v>733.7</v>
          </cell>
          <cell r="AD169">
            <v>749.1</v>
          </cell>
          <cell r="AE169">
            <v>741.3</v>
          </cell>
          <cell r="AF169">
            <v>881.4</v>
          </cell>
          <cell r="AG169">
            <v>1082.9000000000001</v>
          </cell>
          <cell r="AH169">
            <v>1189.5999999999999</v>
          </cell>
          <cell r="AI169">
            <v>1423.3</v>
          </cell>
          <cell r="AJ169">
            <v>1633.9567028013507</v>
          </cell>
          <cell r="AK169">
            <v>1825.8457219371046</v>
          </cell>
          <cell r="AL169">
            <v>2227.9978817919728</v>
          </cell>
          <cell r="AM169">
            <v>2616.4716175774288</v>
          </cell>
          <cell r="AN169">
            <v>3027.3835840055112</v>
          </cell>
          <cell r="AO169">
            <v>3642.8609992199299</v>
          </cell>
        </row>
        <row r="170">
          <cell r="AC170">
            <v>419.56000000000006</v>
          </cell>
          <cell r="AD170">
            <v>434.40000000000003</v>
          </cell>
          <cell r="AE170">
            <v>421.35999999999996</v>
          </cell>
          <cell r="AF170">
            <v>533.5</v>
          </cell>
          <cell r="AG170">
            <v>629.30000000000007</v>
          </cell>
          <cell r="AH170">
            <v>758.99999999999989</v>
          </cell>
          <cell r="AI170">
            <v>908.09999999999991</v>
          </cell>
          <cell r="AJ170">
            <v>1042.5040973891005</v>
          </cell>
          <cell r="AK170">
            <v>1164.9339563627377</v>
          </cell>
          <cell r="AL170">
            <v>1421.5168105496314</v>
          </cell>
          <cell r="AM170">
            <v>1669.3724976618164</v>
          </cell>
          <cell r="AN170">
            <v>1931.5443213907151</v>
          </cell>
          <cell r="AO170">
            <v>2324.23387437056</v>
          </cell>
        </row>
        <row r="171">
          <cell r="AC171">
            <v>314.14</v>
          </cell>
          <cell r="AD171">
            <v>314.7</v>
          </cell>
          <cell r="AE171">
            <v>319.94</v>
          </cell>
          <cell r="AF171">
            <v>347.9</v>
          </cell>
          <cell r="AG171">
            <v>453.6</v>
          </cell>
          <cell r="AH171">
            <v>430.6</v>
          </cell>
          <cell r="AI171">
            <v>515.20000000000005</v>
          </cell>
          <cell r="AJ171">
            <v>591.45260541225036</v>
          </cell>
          <cell r="AK171">
            <v>660.91176557436688</v>
          </cell>
          <cell r="AL171">
            <v>806.48107124234127</v>
          </cell>
          <cell r="AM171">
            <v>947.0991199156125</v>
          </cell>
          <cell r="AN171">
            <v>1095.8392626147961</v>
          </cell>
          <cell r="AO171">
            <v>1318.6271248493699</v>
          </cell>
        </row>
        <row r="172">
          <cell r="AC172">
            <v>42.815864794875289</v>
          </cell>
          <cell r="AD172">
            <v>42.010412494993993</v>
          </cell>
          <cell r="AE172">
            <v>43.159314717388376</v>
          </cell>
          <cell r="AF172">
            <v>39.471295665985927</v>
          </cell>
          <cell r="AG172">
            <v>41.887524240465417</v>
          </cell>
          <cell r="AH172">
            <v>36.197041022192337</v>
          </cell>
          <cell r="AI172">
            <v>36.197569029719666</v>
          </cell>
          <cell r="AJ172">
            <v>36.197569029719666</v>
          </cell>
          <cell r="AK172">
            <v>36.197569029719666</v>
          </cell>
          <cell r="AL172">
            <v>36.197569029719666</v>
          </cell>
          <cell r="AM172">
            <v>36.197569029719666</v>
          </cell>
          <cell r="AN172">
            <v>36.197569029719666</v>
          </cell>
          <cell r="AO172">
            <v>36.197569029719666</v>
          </cell>
        </row>
        <row r="173">
          <cell r="AC173">
            <v>26.25</v>
          </cell>
          <cell r="AD173">
            <v>4.9800000000000004</v>
          </cell>
          <cell r="AE173">
            <v>3.9</v>
          </cell>
          <cell r="AF173">
            <v>12.2</v>
          </cell>
          <cell r="AG173">
            <v>14.4</v>
          </cell>
          <cell r="AH173">
            <v>3.96</v>
          </cell>
          <cell r="AI173">
            <v>12</v>
          </cell>
          <cell r="AJ173">
            <v>10.643731002839885</v>
          </cell>
          <cell r="AK173">
            <v>8.7870244068339645</v>
          </cell>
          <cell r="AL173">
            <v>16.142550615568041</v>
          </cell>
          <cell r="AM173">
            <v>10.059696233032994</v>
          </cell>
          <cell r="AN173">
            <v>8.5956366789947509</v>
          </cell>
          <cell r="AO173">
            <v>13.350579438053359</v>
          </cell>
        </row>
        <row r="174">
          <cell r="AC174">
            <v>-7.9248955090890973</v>
          </cell>
          <cell r="AD174">
            <v>-4.5739526880629171</v>
          </cell>
          <cell r="AE174">
            <v>-2.1510319038282262</v>
          </cell>
          <cell r="AF174">
            <v>-3.0845467125799075</v>
          </cell>
          <cell r="AG174">
            <v>13.970536505747774</v>
          </cell>
          <cell r="AH174">
            <v>-8.6865590007824238</v>
          </cell>
          <cell r="AI174">
            <v>6.8276823037621881</v>
          </cell>
          <cell r="AJ174">
            <v>3.7569705107869851</v>
          </cell>
          <cell r="AK174">
            <v>2.7179719422708075</v>
          </cell>
          <cell r="AL174">
            <v>5.0653075085368897</v>
          </cell>
          <cell r="AM174">
            <v>6.7020945420822784</v>
          </cell>
          <cell r="AN174">
            <v>6.5464656046874978</v>
          </cell>
          <cell r="AO174">
            <v>6.1576763883423524</v>
          </cell>
        </row>
        <row r="176">
          <cell r="AC176">
            <v>622.1</v>
          </cell>
          <cell r="AD176">
            <v>573.29999999999995</v>
          </cell>
          <cell r="AE176">
            <v>524.29999999999995</v>
          </cell>
          <cell r="AF176">
            <v>850.2</v>
          </cell>
          <cell r="AG176">
            <v>1056.9000000000001</v>
          </cell>
          <cell r="AH176">
            <v>1011.1</v>
          </cell>
          <cell r="AI176">
            <v>931</v>
          </cell>
          <cell r="AJ176">
            <v>950.7469229236948</v>
          </cell>
          <cell r="AK176">
            <v>1007.7987095694617</v>
          </cell>
          <cell r="AL176">
            <v>1073.9048252811435</v>
          </cell>
          <cell r="AM176">
            <v>1136.4477250335472</v>
          </cell>
          <cell r="AN176">
            <v>1194.7621164099137</v>
          </cell>
          <cell r="AO176">
            <v>1215.4330772486612</v>
          </cell>
        </row>
        <row r="177">
          <cell r="AC177">
            <v>339.46000000000004</v>
          </cell>
          <cell r="AD177">
            <v>312.16999999999996</v>
          </cell>
          <cell r="AE177">
            <v>267.35999999999996</v>
          </cell>
          <cell r="AF177">
            <v>480.5</v>
          </cell>
          <cell r="AG177">
            <v>623.60000000000014</v>
          </cell>
          <cell r="AH177">
            <v>613.70000000000005</v>
          </cell>
          <cell r="AI177">
            <v>565.1</v>
          </cell>
          <cell r="AJ177">
            <v>577.08602163714272</v>
          </cell>
          <cell r="AK177">
            <v>611.71541436917596</v>
          </cell>
          <cell r="AL177">
            <v>651.84061951275419</v>
          </cell>
          <cell r="AM177">
            <v>689.80301763314446</v>
          </cell>
          <cell r="AN177">
            <v>725.19878838157047</v>
          </cell>
          <cell r="AO177">
            <v>737.74568416027751</v>
          </cell>
        </row>
        <row r="178">
          <cell r="AC178">
            <v>282.64</v>
          </cell>
          <cell r="AD178">
            <v>261.13</v>
          </cell>
          <cell r="AE178">
            <v>256.94</v>
          </cell>
          <cell r="AF178">
            <v>369.70000000000005</v>
          </cell>
          <cell r="AG178">
            <v>433.3</v>
          </cell>
          <cell r="AH178">
            <v>397.4</v>
          </cell>
          <cell r="AI178">
            <v>365.9</v>
          </cell>
          <cell r="AJ178">
            <v>373.66090128655202</v>
          </cell>
          <cell r="AK178">
            <v>396.08329520028576</v>
          </cell>
          <cell r="AL178">
            <v>422.06420576838934</v>
          </cell>
          <cell r="AM178">
            <v>446.64470740040269</v>
          </cell>
          <cell r="AN178">
            <v>469.56332802834316</v>
          </cell>
          <cell r="AO178">
            <v>477.68739308838366</v>
          </cell>
        </row>
        <row r="179">
          <cell r="AC179">
            <v>45.433210094840057</v>
          </cell>
          <cell r="AD179">
            <v>45.548578405721265</v>
          </cell>
          <cell r="AE179">
            <v>49.006294106427625</v>
          </cell>
          <cell r="AF179">
            <v>43.483886144436603</v>
          </cell>
          <cell r="AG179">
            <v>40.997256126407414</v>
          </cell>
          <cell r="AH179">
            <v>39.303728612402331</v>
          </cell>
          <cell r="AI179">
            <v>39.301825993555319</v>
          </cell>
          <cell r="AJ179">
            <v>39.301825993555319</v>
          </cell>
          <cell r="AK179">
            <v>39.301825993555319</v>
          </cell>
          <cell r="AL179">
            <v>39.301825993555319</v>
          </cell>
          <cell r="AM179">
            <v>39.301825993555319</v>
          </cell>
          <cell r="AN179">
            <v>39.301825993555319</v>
          </cell>
          <cell r="AO179">
            <v>39.301825993555319</v>
          </cell>
        </row>
        <row r="180">
          <cell r="AC180">
            <v>14.5</v>
          </cell>
          <cell r="AD180">
            <v>-9.52</v>
          </cell>
          <cell r="AE180">
            <v>-6.9</v>
          </cell>
          <cell r="AF180">
            <v>21.6</v>
          </cell>
          <cell r="AG180">
            <v>19.5</v>
          </cell>
          <cell r="AH180">
            <v>-1.01</v>
          </cell>
          <cell r="AI180">
            <v>-12</v>
          </cell>
          <cell r="AJ180">
            <v>-1.6499915672566488</v>
          </cell>
          <cell r="AK180">
            <v>3.471479708814627</v>
          </cell>
          <cell r="AL180">
            <v>2.9454822669513874</v>
          </cell>
          <cell r="AM180">
            <v>2.225457748870042</v>
          </cell>
          <cell r="AN180">
            <v>1.687961309799249</v>
          </cell>
          <cell r="AO180">
            <v>5.2016838250142428</v>
          </cell>
        </row>
        <row r="181">
          <cell r="AC181">
            <v>10.396762778198749</v>
          </cell>
          <cell r="AD181">
            <v>2.1105351763579137</v>
          </cell>
          <cell r="AE181">
            <v>5.6879003478355088</v>
          </cell>
          <cell r="AF181">
            <v>18.327082300598562</v>
          </cell>
          <cell r="AG181">
            <v>-1.9220605194984586</v>
          </cell>
          <cell r="AH181">
            <v>-7.349482484843989</v>
          </cell>
          <cell r="AI181">
            <v>4.6289518232145213</v>
          </cell>
          <cell r="AJ181">
            <v>3.8343015725735228</v>
          </cell>
          <cell r="AK181">
            <v>2.4443967939130147</v>
          </cell>
          <cell r="AL181">
            <v>3.5105707702737874</v>
          </cell>
          <cell r="AM181">
            <v>3.5200816591876247</v>
          </cell>
          <cell r="AN181">
            <v>3.3861682168288638</v>
          </cell>
          <cell r="AO181">
            <v>-3.2999014567720195</v>
          </cell>
        </row>
        <row r="183">
          <cell r="AC183">
            <v>221</v>
          </cell>
          <cell r="AD183">
            <v>246</v>
          </cell>
          <cell r="AE183">
            <v>265.10000000000002</v>
          </cell>
          <cell r="AF183">
            <v>381.5</v>
          </cell>
          <cell r="AG183">
            <v>423.8</v>
          </cell>
          <cell r="AH183">
            <v>353</v>
          </cell>
          <cell r="AI183">
            <v>418.3</v>
          </cell>
          <cell r="AJ183">
            <v>481.54655121249135</v>
          </cell>
          <cell r="AK183">
            <v>542.682371727239</v>
          </cell>
          <cell r="AL183">
            <v>635.45480336984667</v>
          </cell>
          <cell r="AM183">
            <v>705.83614677274443</v>
          </cell>
          <cell r="AN183">
            <v>773.78175186686803</v>
          </cell>
          <cell r="AO183">
            <v>777.02340517006655</v>
          </cell>
        </row>
        <row r="184">
          <cell r="AC184">
            <v>126.6</v>
          </cell>
          <cell r="AD184">
            <v>153.69999999999999</v>
          </cell>
          <cell r="AE184">
            <v>168.2</v>
          </cell>
          <cell r="AF184">
            <v>248.05</v>
          </cell>
          <cell r="AG184">
            <v>285.39999999999998</v>
          </cell>
          <cell r="AH184">
            <v>233.3</v>
          </cell>
          <cell r="AI184">
            <v>276.5</v>
          </cell>
          <cell r="AJ184">
            <v>318.30652978784087</v>
          </cell>
          <cell r="AK184">
            <v>358.71784791437142</v>
          </cell>
          <cell r="AL184">
            <v>420.04124583256657</v>
          </cell>
          <cell r="AM184">
            <v>466.56393636783127</v>
          </cell>
          <cell r="AN184">
            <v>511.4765823360961</v>
          </cell>
          <cell r="AO184">
            <v>513.61934384299161</v>
          </cell>
        </row>
        <row r="185">
          <cell r="AC185">
            <v>94.4</v>
          </cell>
          <cell r="AD185">
            <v>92.3</v>
          </cell>
          <cell r="AE185">
            <v>96.900000000000034</v>
          </cell>
          <cell r="AF185">
            <v>133.44999999999999</v>
          </cell>
          <cell r="AG185">
            <v>138.4</v>
          </cell>
          <cell r="AH185">
            <v>119.7</v>
          </cell>
          <cell r="AI185">
            <v>141.80000000000001</v>
          </cell>
          <cell r="AJ185">
            <v>163.24002142465045</v>
          </cell>
          <cell r="AK185">
            <v>183.96452381286755</v>
          </cell>
          <cell r="AL185">
            <v>215.4135575372801</v>
          </cell>
          <cell r="AM185">
            <v>239.27221040491312</v>
          </cell>
          <cell r="AN185">
            <v>262.30516953077193</v>
          </cell>
          <cell r="AO185">
            <v>263.40406132707494</v>
          </cell>
        </row>
        <row r="186">
          <cell r="AC186">
            <v>42.714932126696837</v>
          </cell>
          <cell r="AD186">
            <v>37.520325203252028</v>
          </cell>
          <cell r="AE186">
            <v>36.552244436061876</v>
          </cell>
          <cell r="AF186">
            <v>34.980340760157269</v>
          </cell>
          <cell r="AG186">
            <v>32.656913638508733</v>
          </cell>
          <cell r="AH186">
            <v>33.909348441926348</v>
          </cell>
          <cell r="AI186">
            <v>33.89911546736792</v>
          </cell>
          <cell r="AJ186">
            <v>33.89911546736792</v>
          </cell>
          <cell r="AK186">
            <v>33.89911546736792</v>
          </cell>
          <cell r="AL186">
            <v>33.89911546736792</v>
          </cell>
          <cell r="AM186">
            <v>33.89911546736792</v>
          </cell>
          <cell r="AN186">
            <v>33.89911546736792</v>
          </cell>
          <cell r="AO186">
            <v>33.89911546736792</v>
          </cell>
        </row>
        <row r="187">
          <cell r="AC187">
            <v>-27.35</v>
          </cell>
          <cell r="AD187">
            <v>79.95</v>
          </cell>
          <cell r="AE187">
            <v>2.2000000000000002</v>
          </cell>
          <cell r="AF187">
            <v>28.7</v>
          </cell>
          <cell r="AG187">
            <v>-0.3</v>
          </cell>
          <cell r="AH187">
            <v>-21.3</v>
          </cell>
          <cell r="AI187">
            <v>12.2</v>
          </cell>
          <cell r="AJ187">
            <v>8.6944182881441918</v>
          </cell>
          <cell r="AK187">
            <v>8.2825513685608172</v>
          </cell>
          <cell r="AL187">
            <v>11.744164845484377</v>
          </cell>
          <cell r="AM187">
            <v>7.47876037814261</v>
          </cell>
          <cell r="AN187">
            <v>6.9921850429009282</v>
          </cell>
          <cell r="AO187">
            <v>8.6067689195644874</v>
          </cell>
        </row>
        <row r="188">
          <cell r="AC188">
            <v>15.44918630643015</v>
          </cell>
          <cell r="AD188">
            <v>-45.665227158203095</v>
          </cell>
          <cell r="AE188">
            <v>2.723824506575852</v>
          </cell>
          <cell r="AF188">
            <v>7.0080017448438241</v>
          </cell>
          <cell r="AG188">
            <v>4.0213183574703208</v>
          </cell>
          <cell r="AH188">
            <v>9.8963650652584221</v>
          </cell>
          <cell r="AI188">
            <v>5.5818393279693908</v>
          </cell>
          <cell r="AJ188">
            <v>5.9115123730693</v>
          </cell>
          <cell r="AK188">
            <v>4.07560817475958</v>
          </cell>
          <cell r="AL188">
            <v>4.788614560295585</v>
          </cell>
          <cell r="AM188">
            <v>3.3466919442497414</v>
          </cell>
          <cell r="AN188">
            <v>2.4619297821156607</v>
          </cell>
          <cell r="AO188">
            <v>-7.5389707432450734</v>
          </cell>
        </row>
        <row r="190">
          <cell r="AC190">
            <v>89.9</v>
          </cell>
          <cell r="AD190">
            <v>85.7</v>
          </cell>
          <cell r="AE190">
            <v>75.5</v>
          </cell>
          <cell r="AF190">
            <v>48.6</v>
          </cell>
          <cell r="AG190">
            <v>50.9</v>
          </cell>
          <cell r="AH190">
            <v>66</v>
          </cell>
          <cell r="AI190">
            <v>77</v>
          </cell>
          <cell r="AJ190">
            <v>74.687280443295663</v>
          </cell>
          <cell r="AK190">
            <v>85.466564877487556</v>
          </cell>
          <cell r="AL190">
            <v>89.943260145051013</v>
          </cell>
          <cell r="AM190">
            <v>92.273636273759152</v>
          </cell>
          <cell r="AN190">
            <v>95.093774341491212</v>
          </cell>
          <cell r="AO190">
            <v>99.025916732926831</v>
          </cell>
        </row>
        <row r="191">
          <cell r="AC191">
            <v>50.7</v>
          </cell>
          <cell r="AD191">
            <v>48.410000000000004</v>
          </cell>
          <cell r="AE191">
            <v>43.3</v>
          </cell>
          <cell r="AF191">
            <v>28.992000000000001</v>
          </cell>
          <cell r="AG191">
            <v>30.7</v>
          </cell>
          <cell r="AH191">
            <v>39.58</v>
          </cell>
          <cell r="AI191">
            <v>46.19</v>
          </cell>
          <cell r="AJ191">
            <v>44.802668619166582</v>
          </cell>
          <cell r="AK191">
            <v>51.268839372612341</v>
          </cell>
          <cell r="AL191">
            <v>53.954275144154629</v>
          </cell>
          <cell r="AM191">
            <v>55.352198175129033</v>
          </cell>
          <cell r="AN191">
            <v>57.043914764071161</v>
          </cell>
          <cell r="AO191">
            <v>59.402689531089486</v>
          </cell>
        </row>
        <row r="192">
          <cell r="AC192">
            <v>39.200000000000003</v>
          </cell>
          <cell r="AD192">
            <v>37.29</v>
          </cell>
          <cell r="AE192">
            <v>32.200000000000003</v>
          </cell>
          <cell r="AF192">
            <v>19.608000000000001</v>
          </cell>
          <cell r="AG192">
            <v>20.2</v>
          </cell>
          <cell r="AH192">
            <v>26.42</v>
          </cell>
          <cell r="AI192">
            <v>30.81</v>
          </cell>
          <cell r="AJ192">
            <v>29.884611824129085</v>
          </cell>
          <cell r="AK192">
            <v>34.197725504875216</v>
          </cell>
          <cell r="AL192">
            <v>35.988985000896385</v>
          </cell>
          <cell r="AM192">
            <v>36.921438098630119</v>
          </cell>
          <cell r="AN192">
            <v>38.049859577420051</v>
          </cell>
          <cell r="AO192">
            <v>39.623227201837345</v>
          </cell>
        </row>
        <row r="193">
          <cell r="AC193">
            <v>43.604004449388214</v>
          </cell>
          <cell r="AD193">
            <v>43.512252042006999</v>
          </cell>
          <cell r="AE193">
            <v>42.649006622516559</v>
          </cell>
          <cell r="AF193">
            <v>40.345679012345684</v>
          </cell>
          <cell r="AG193">
            <v>39.685658153241647</v>
          </cell>
          <cell r="AH193">
            <v>40.030303030303031</v>
          </cell>
          <cell r="AI193">
            <v>40.012987012987011</v>
          </cell>
          <cell r="AJ193">
            <v>40.012987012987011</v>
          </cell>
          <cell r="AK193">
            <v>40.012987012987011</v>
          </cell>
          <cell r="AL193">
            <v>40.012987012987011</v>
          </cell>
          <cell r="AM193">
            <v>40.012987012987011</v>
          </cell>
          <cell r="AN193">
            <v>40.012987012987011</v>
          </cell>
          <cell r="AO193">
            <v>40.012987012987011</v>
          </cell>
        </row>
        <row r="194">
          <cell r="AC194">
            <v>11.8</v>
          </cell>
          <cell r="AD194">
            <v>-6.4</v>
          </cell>
          <cell r="AE194">
            <v>-14.1</v>
          </cell>
          <cell r="AF194">
            <v>-36.4</v>
          </cell>
          <cell r="AG194">
            <v>-1.46</v>
          </cell>
          <cell r="AH194">
            <v>27.48</v>
          </cell>
          <cell r="AI194">
            <v>4.7</v>
          </cell>
          <cell r="AJ194">
            <v>2.6658666141776024</v>
          </cell>
          <cell r="AK194">
            <v>5.112316170379529</v>
          </cell>
          <cell r="AL194">
            <v>5.1819537520455583</v>
          </cell>
          <cell r="AM194">
            <v>3.4270948249998696</v>
          </cell>
          <cell r="AN194">
            <v>3.7301602337553845</v>
          </cell>
          <cell r="AO194">
            <v>4.6662454925109103</v>
          </cell>
        </row>
        <row r="195">
          <cell r="AC195">
            <v>1.5130625558710307</v>
          </cell>
          <cell r="AD195">
            <v>1.6319989534275123</v>
          </cell>
          <cell r="AE195">
            <v>0.52413031798405996</v>
          </cell>
          <cell r="AF195">
            <v>-4.2540724247041055</v>
          </cell>
          <cell r="AG195">
            <v>4.5455407414179092</v>
          </cell>
          <cell r="AH195">
            <v>2.598116730405394</v>
          </cell>
          <cell r="AI195">
            <v>11.381279702578368</v>
          </cell>
          <cell r="AJ195">
            <v>-5.5221844347812663</v>
          </cell>
          <cell r="AK195">
            <v>8.8669352172699405</v>
          </cell>
          <cell r="AL195">
            <v>5.3236762603887655E-2</v>
          </cell>
          <cell r="AM195">
            <v>-0.80844828623351361</v>
          </cell>
          <cell r="AN195">
            <v>-0.64965008715154227</v>
          </cell>
          <cell r="AO195">
            <v>-0.50754653790738757</v>
          </cell>
        </row>
        <row r="197">
          <cell r="AC197">
            <v>205.4</v>
          </cell>
          <cell r="AD197">
            <v>231.4</v>
          </cell>
          <cell r="AE197">
            <v>215.6</v>
          </cell>
          <cell r="AF197">
            <v>210.2</v>
          </cell>
          <cell r="AG197">
            <v>186.9</v>
          </cell>
          <cell r="AH197">
            <v>216.9</v>
          </cell>
          <cell r="AI197">
            <v>251.9</v>
          </cell>
          <cell r="AJ197">
            <v>284.99209003620234</v>
          </cell>
          <cell r="AK197">
            <v>310.49517096858307</v>
          </cell>
          <cell r="AL197">
            <v>349.90519352921484</v>
          </cell>
          <cell r="AM197">
            <v>374.4198594056607</v>
          </cell>
          <cell r="AN197">
            <v>435.02415843602944</v>
          </cell>
          <cell r="AO197">
            <v>506.78046985380115</v>
          </cell>
        </row>
        <row r="198">
          <cell r="AC198">
            <v>158.60000000000002</v>
          </cell>
          <cell r="AD198">
            <v>178.3</v>
          </cell>
          <cell r="AE198">
            <v>152.9</v>
          </cell>
          <cell r="AF198">
            <v>154.5</v>
          </cell>
          <cell r="AG198">
            <v>135.71</v>
          </cell>
          <cell r="AH198">
            <v>149.41000000000003</v>
          </cell>
          <cell r="AI198">
            <v>173.56</v>
          </cell>
          <cell r="AJ198">
            <v>196.36056826789709</v>
          </cell>
          <cell r="AK198">
            <v>213.93228214889746</v>
          </cell>
          <cell r="AL198">
            <v>241.08592849912873</v>
          </cell>
          <cell r="AM198">
            <v>257.97662087513487</v>
          </cell>
          <cell r="AN198">
            <v>299.73319943690854</v>
          </cell>
          <cell r="AO198">
            <v>349.17355437802985</v>
          </cell>
        </row>
        <row r="199">
          <cell r="AC199">
            <v>46.8</v>
          </cell>
          <cell r="AD199">
            <v>53.1</v>
          </cell>
          <cell r="AE199">
            <v>62.699999999999989</v>
          </cell>
          <cell r="AF199">
            <v>55.699999999999989</v>
          </cell>
          <cell r="AG199">
            <v>51.19</v>
          </cell>
          <cell r="AH199">
            <v>67.489999999999995</v>
          </cell>
          <cell r="AI199">
            <v>78.34</v>
          </cell>
          <cell r="AJ199">
            <v>88.631521768305248</v>
          </cell>
          <cell r="AK199">
            <v>96.562888819685597</v>
          </cell>
          <cell r="AL199">
            <v>108.81926503008611</v>
          </cell>
          <cell r="AM199">
            <v>116.44323853052585</v>
          </cell>
          <cell r="AN199">
            <v>135.29095899912087</v>
          </cell>
          <cell r="AO199">
            <v>157.60691547577127</v>
          </cell>
        </row>
        <row r="200">
          <cell r="AC200">
            <v>22.784810126582279</v>
          </cell>
          <cell r="AD200">
            <v>22.947277441659462</v>
          </cell>
          <cell r="AE200">
            <v>29.081632653061217</v>
          </cell>
          <cell r="AF200">
            <v>26.498572787821118</v>
          </cell>
          <cell r="AG200">
            <v>27.388978063135365</v>
          </cell>
          <cell r="AH200">
            <v>31.115721530659286</v>
          </cell>
          <cell r="AI200">
            <v>31.099642715363242</v>
          </cell>
          <cell r="AJ200">
            <v>31.099642715363242</v>
          </cell>
          <cell r="AK200">
            <v>31.099642715363242</v>
          </cell>
          <cell r="AL200">
            <v>31.099642715363242</v>
          </cell>
          <cell r="AM200">
            <v>31.099642715363242</v>
          </cell>
          <cell r="AN200">
            <v>31.099642715363242</v>
          </cell>
          <cell r="AO200">
            <v>31.099642715363242</v>
          </cell>
        </row>
        <row r="201">
          <cell r="AC201">
            <v>26.9</v>
          </cell>
          <cell r="AD201">
            <v>9.6</v>
          </cell>
          <cell r="AE201">
            <v>747.2</v>
          </cell>
          <cell r="AF201">
            <v>-0.59999999999999432</v>
          </cell>
          <cell r="AG201">
            <v>-11.5</v>
          </cell>
          <cell r="AH201">
            <v>15.4</v>
          </cell>
          <cell r="AI201">
            <v>13.96</v>
          </cell>
          <cell r="AJ201">
            <v>8.1782350544830678</v>
          </cell>
          <cell r="AK201">
            <v>8.0140484907240079</v>
          </cell>
          <cell r="AL201">
            <v>11.648946220349202</v>
          </cell>
          <cell r="AM201">
            <v>6.9966208180233025</v>
          </cell>
          <cell r="AN201">
            <v>4.0509222399130635</v>
          </cell>
          <cell r="AO201">
            <v>4.0816726841718776</v>
          </cell>
        </row>
        <row r="202">
          <cell r="AC202">
            <v>2.4428684003152057</v>
          </cell>
          <cell r="AD202">
            <v>3.5233015160022632</v>
          </cell>
          <cell r="AE202">
            <v>-86.06242964527884</v>
          </cell>
          <cell r="AF202">
            <v>-10.628042577634886</v>
          </cell>
          <cell r="AG202">
            <v>3.8452565702056205</v>
          </cell>
          <cell r="AH202">
            <v>14.247969385810094</v>
          </cell>
          <cell r="AI202">
            <v>1.8571917964420805</v>
          </cell>
          <cell r="AJ202">
            <v>4.5838793696468798</v>
          </cell>
          <cell r="AK202">
            <v>0.86530348299160664</v>
          </cell>
          <cell r="AL202">
            <v>0.93479611254541339</v>
          </cell>
          <cell r="AM202">
            <v>8.8481400924536047E-3</v>
          </cell>
          <cell r="AN202">
            <v>11.662813372061237</v>
          </cell>
          <cell r="AO202">
            <v>11.926321613506559</v>
          </cell>
        </row>
        <row r="204">
          <cell r="AC204">
            <v>284.60000000000002</v>
          </cell>
          <cell r="AD204">
            <v>220.8</v>
          </cell>
          <cell r="AE204">
            <v>262.10000000000002</v>
          </cell>
          <cell r="AF204">
            <v>365</v>
          </cell>
          <cell r="AG204">
            <v>384.5</v>
          </cell>
          <cell r="AH204">
            <v>563.4</v>
          </cell>
          <cell r="AI204">
            <v>534.70000000000005</v>
          </cell>
          <cell r="AJ204">
            <v>582.01942690761769</v>
          </cell>
          <cell r="AK204">
            <v>619.21521560877352</v>
          </cell>
          <cell r="AL204">
            <v>671.27687246137043</v>
          </cell>
          <cell r="AM204">
            <v>714.81320439391061</v>
          </cell>
          <cell r="AN204">
            <v>755.87775017166359</v>
          </cell>
          <cell r="AO204">
            <v>807.13706364614006</v>
          </cell>
        </row>
        <row r="205">
          <cell r="AC205">
            <v>249.10000000000002</v>
          </cell>
          <cell r="AD205">
            <v>156.93</v>
          </cell>
          <cell r="AE205">
            <v>187.74</v>
          </cell>
          <cell r="AF205">
            <v>250</v>
          </cell>
          <cell r="AG205">
            <v>251.55</v>
          </cell>
          <cell r="AH205">
            <v>349.9</v>
          </cell>
          <cell r="AI205">
            <v>332.00000000000006</v>
          </cell>
          <cell r="AJ205">
            <v>361.38105429835252</v>
          </cell>
          <cell r="AK205">
            <v>384.47625132244775</v>
          </cell>
          <cell r="AL205">
            <v>416.80179849855062</v>
          </cell>
          <cell r="AM205">
            <v>443.83389537830249</v>
          </cell>
          <cell r="AN205">
            <v>469.33123818401407</v>
          </cell>
          <cell r="AO205">
            <v>501.1586031990247</v>
          </cell>
        </row>
        <row r="206">
          <cell r="AC206">
            <v>35.5</v>
          </cell>
          <cell r="AD206">
            <v>63.87</v>
          </cell>
          <cell r="AE206">
            <v>74.36</v>
          </cell>
          <cell r="AF206">
            <v>115</v>
          </cell>
          <cell r="AG206">
            <v>132.94999999999999</v>
          </cell>
          <cell r="AH206">
            <v>213.5</v>
          </cell>
          <cell r="AI206">
            <v>202.7</v>
          </cell>
          <cell r="AJ206">
            <v>220.63837260926516</v>
          </cell>
          <cell r="AK206">
            <v>234.73896428632577</v>
          </cell>
          <cell r="AL206">
            <v>254.47507396281983</v>
          </cell>
          <cell r="AM206">
            <v>270.97930901560812</v>
          </cell>
          <cell r="AN206">
            <v>286.54651198764952</v>
          </cell>
          <cell r="AO206">
            <v>305.97846044711537</v>
          </cell>
        </row>
        <row r="207">
          <cell r="AC207">
            <v>12.473647224174279</v>
          </cell>
          <cell r="AD207">
            <v>28.926630434782609</v>
          </cell>
          <cell r="AE207">
            <v>28.370850820297594</v>
          </cell>
          <cell r="AF207">
            <v>31.506849315068493</v>
          </cell>
          <cell r="AG207">
            <v>34.577373211963582</v>
          </cell>
          <cell r="AH207">
            <v>37.894923677671279</v>
          </cell>
          <cell r="AI207">
            <v>37.909107910978115</v>
          </cell>
          <cell r="AJ207">
            <v>37.909107910978115</v>
          </cell>
          <cell r="AK207">
            <v>37.909107910978115</v>
          </cell>
          <cell r="AL207">
            <v>37.909107910978115</v>
          </cell>
          <cell r="AM207">
            <v>37.909107910978115</v>
          </cell>
          <cell r="AN207">
            <v>37.909107910978115</v>
          </cell>
          <cell r="AO207">
            <v>37.909107910978115</v>
          </cell>
        </row>
        <row r="208">
          <cell r="AC208">
            <v>1.7</v>
          </cell>
          <cell r="AD208">
            <v>32.299999999999997</v>
          </cell>
          <cell r="AE208">
            <v>21.64</v>
          </cell>
          <cell r="AF208">
            <v>36</v>
          </cell>
          <cell r="AG208">
            <v>-4.46</v>
          </cell>
          <cell r="AH208">
            <v>60.35</v>
          </cell>
          <cell r="AI208">
            <v>-5.66</v>
          </cell>
          <cell r="AJ208">
            <v>5.076218008968155</v>
          </cell>
          <cell r="AK208">
            <v>4.1617541255114361</v>
          </cell>
          <cell r="AL208">
            <v>6.3490636221164465</v>
          </cell>
          <cell r="AM208">
            <v>4.5513989835670827</v>
          </cell>
          <cell r="AN208">
            <v>3.8240490506669573</v>
          </cell>
          <cell r="AO208">
            <v>4.8418547557840697</v>
          </cell>
        </row>
        <row r="209">
          <cell r="AC209">
            <v>-56.745244109128699</v>
          </cell>
          <cell r="AD209">
            <v>35.990546453323105</v>
          </cell>
          <cell r="AE209">
            <v>-4.2880744639810331</v>
          </cell>
          <cell r="AF209">
            <v>13.71547005031168</v>
          </cell>
          <cell r="AG209">
            <v>21.00554286390404</v>
          </cell>
          <cell r="AH209">
            <v>0.14760631389614787</v>
          </cell>
          <cell r="AI209">
            <v>0.63753655992400127</v>
          </cell>
          <cell r="AJ209">
            <v>3.5911999999999296</v>
          </cell>
          <cell r="AK209">
            <v>2.140000000000029</v>
          </cell>
          <cell r="AL209">
            <v>1.9357200000000034</v>
          </cell>
          <cell r="AM209">
            <v>1.8499999999999517</v>
          </cell>
          <cell r="AN209">
            <v>1.8499999999999943</v>
          </cell>
          <cell r="AO209">
            <v>1.8500000000000369</v>
          </cell>
        </row>
        <row r="210"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</row>
        <row r="211">
          <cell r="AC211">
            <v>1.7</v>
          </cell>
          <cell r="AD211">
            <v>97.5</v>
          </cell>
          <cell r="AE211">
            <v>74.900000000000006</v>
          </cell>
          <cell r="AF211">
            <v>87.4</v>
          </cell>
          <cell r="AG211">
            <v>129.9</v>
          </cell>
          <cell r="AH211">
            <v>193.7</v>
          </cell>
          <cell r="AI211">
            <v>274.2</v>
          </cell>
          <cell r="AJ211">
            <v>366.34808119660954</v>
          </cell>
          <cell r="AK211">
            <v>566.61913941945636</v>
          </cell>
          <cell r="AL211">
            <v>796.81400193994114</v>
          </cell>
          <cell r="AM211">
            <v>1044.5748103079695</v>
          </cell>
          <cell r="AN211">
            <v>1281.9492155121627</v>
          </cell>
          <cell r="AO211">
            <v>992.44716703625977</v>
          </cell>
        </row>
        <row r="212">
          <cell r="AC212">
            <v>-45.65</v>
          </cell>
          <cell r="AD212">
            <v>53.8</v>
          </cell>
          <cell r="AE212">
            <v>41.710000000000008</v>
          </cell>
          <cell r="AF212">
            <v>62.3</v>
          </cell>
          <cell r="AG212">
            <v>98.350000000000009</v>
          </cell>
          <cell r="AH212">
            <v>147.64999999999998</v>
          </cell>
          <cell r="AI212">
            <v>208.95</v>
          </cell>
          <cell r="AJ212">
            <v>279.17006406284304</v>
          </cell>
          <cell r="AK212">
            <v>431.78362210683952</v>
          </cell>
          <cell r="AL212">
            <v>607.20016668618052</v>
          </cell>
          <cell r="AM212">
            <v>796.00257700164207</v>
          </cell>
          <cell r="AN212">
            <v>976.89018446851344</v>
          </cell>
          <cell r="AO212">
            <v>756.2794877907603</v>
          </cell>
        </row>
        <row r="213">
          <cell r="AC213">
            <v>47.35</v>
          </cell>
          <cell r="AD213">
            <v>43.7</v>
          </cell>
          <cell r="AE213">
            <v>33.19</v>
          </cell>
          <cell r="AF213">
            <v>25.100000000000009</v>
          </cell>
          <cell r="AG213">
            <v>31.55</v>
          </cell>
          <cell r="AH213">
            <v>46.05</v>
          </cell>
          <cell r="AI213">
            <v>65.25</v>
          </cell>
          <cell r="AJ213">
            <v>87.178017133766502</v>
          </cell>
          <cell r="AK213">
            <v>134.83551731261682</v>
          </cell>
          <cell r="AL213">
            <v>189.61383525376064</v>
          </cell>
          <cell r="AM213">
            <v>248.57223330632752</v>
          </cell>
          <cell r="AN213">
            <v>305.05903104364927</v>
          </cell>
          <cell r="AO213">
            <v>236.1676792454995</v>
          </cell>
        </row>
        <row r="214">
          <cell r="AC214">
            <v>2785.294117647059</v>
          </cell>
          <cell r="AD214">
            <v>44.820512820512825</v>
          </cell>
          <cell r="AE214">
            <v>44.312416555407204</v>
          </cell>
          <cell r="AF214">
            <v>28.718535469107557</v>
          </cell>
          <cell r="AG214">
            <v>24.287913779830639</v>
          </cell>
          <cell r="AH214">
            <v>23.773877129581827</v>
          </cell>
          <cell r="AI214">
            <v>23.796498905908098</v>
          </cell>
          <cell r="AJ214">
            <v>23.796498905908098</v>
          </cell>
          <cell r="AK214">
            <v>23.796498905908098</v>
          </cell>
          <cell r="AL214">
            <v>23.796498905908098</v>
          </cell>
          <cell r="AM214">
            <v>23.796498905908098</v>
          </cell>
          <cell r="AN214">
            <v>23.796498905908098</v>
          </cell>
          <cell r="AO214">
            <v>23.796498905908098</v>
          </cell>
        </row>
        <row r="215">
          <cell r="AC215">
            <v>1566.7</v>
          </cell>
          <cell r="AD215">
            <v>-13.6</v>
          </cell>
          <cell r="AE215">
            <v>-24.34</v>
          </cell>
          <cell r="AF215">
            <v>15.2</v>
          </cell>
          <cell r="AG215">
            <v>46.74</v>
          </cell>
          <cell r="AH215">
            <v>51.34</v>
          </cell>
          <cell r="AI215">
            <v>44.74</v>
          </cell>
          <cell r="AJ215">
            <v>31.318235605730223</v>
          </cell>
          <cell r="AK215">
            <v>50.57431038760393</v>
          </cell>
          <cell r="AL215">
            <v>33.846303316606281</v>
          </cell>
          <cell r="AM215">
            <v>22.859755583625542</v>
          </cell>
          <cell r="AN215">
            <v>14.624872386829168</v>
          </cell>
          <cell r="AO215">
            <v>-27.785011186337925</v>
          </cell>
        </row>
        <row r="216">
          <cell r="AC216">
            <v>6356.6890480372213</v>
          </cell>
          <cell r="AD216">
            <v>6.8188040204935731</v>
          </cell>
          <cell r="AE216">
            <v>0.38284000868632972</v>
          </cell>
          <cell r="AF216">
            <v>-34.353135147802178</v>
          </cell>
          <cell r="AG216">
            <v>-14.340185937455061</v>
          </cell>
          <cell r="AH216">
            <v>-3.5557053240392378</v>
          </cell>
          <cell r="AI216">
            <v>-2.1045937025572954</v>
          </cell>
          <cell r="AJ216">
            <v>1.7422720542668912</v>
          </cell>
          <cell r="AK216">
            <v>2.7179719422707933</v>
          </cell>
          <cell r="AL216">
            <v>5.0653075085369039</v>
          </cell>
          <cell r="AM216">
            <v>6.7020945420822642</v>
          </cell>
          <cell r="AN216">
            <v>7.0662044612957544</v>
          </cell>
          <cell r="AO216">
            <v>7.2035648256658931</v>
          </cell>
        </row>
        <row r="218">
          <cell r="AC218">
            <v>6.8</v>
          </cell>
          <cell r="AD218">
            <v>7.3</v>
          </cell>
          <cell r="AE218">
            <v>6</v>
          </cell>
          <cell r="AF218">
            <v>4.7</v>
          </cell>
          <cell r="AG218">
            <v>12.2</v>
          </cell>
          <cell r="AH218">
            <v>8.6999999999999993</v>
          </cell>
          <cell r="AI218">
            <v>17.7</v>
          </cell>
          <cell r="AJ218">
            <v>21.450350824725728</v>
          </cell>
          <cell r="AK218">
            <v>25.284721944081284</v>
          </cell>
          <cell r="AL218">
            <v>28.836021703583608</v>
          </cell>
          <cell r="AM218">
            <v>32.324433289534561</v>
          </cell>
          <cell r="AN218">
            <v>36.967165943475173</v>
          </cell>
          <cell r="AO218">
            <v>42.644164636300133</v>
          </cell>
        </row>
        <row r="219">
          <cell r="AC219">
            <v>2.3220000000000001</v>
          </cell>
          <cell r="AD219">
            <v>2.3949999999999996</v>
          </cell>
          <cell r="AE219">
            <v>2.0150000000000001</v>
          </cell>
          <cell r="AF219">
            <v>1.8570000000000002</v>
          </cell>
          <cell r="AG219">
            <v>5.0149999999999997</v>
          </cell>
          <cell r="AH219">
            <v>3.8019999999999996</v>
          </cell>
          <cell r="AI219">
            <v>7.7500999999999998</v>
          </cell>
          <cell r="AJ219">
            <v>9.3922239506614069</v>
          </cell>
          <cell r="AK219">
            <v>11.071136923097423</v>
          </cell>
          <cell r="AL219">
            <v>12.626104621748212</v>
          </cell>
          <cell r="AM219">
            <v>14.153536182893891</v>
          </cell>
          <cell r="AN219">
            <v>16.186397332120169</v>
          </cell>
          <cell r="AO219">
            <v>18.672120923603938</v>
          </cell>
        </row>
        <row r="220">
          <cell r="AC220">
            <v>4.4779999999999998</v>
          </cell>
          <cell r="AD220">
            <v>4.9050000000000002</v>
          </cell>
          <cell r="AE220">
            <v>3.9849999999999999</v>
          </cell>
          <cell r="AF220">
            <v>2.843</v>
          </cell>
          <cell r="AG220">
            <v>7.1849999999999996</v>
          </cell>
          <cell r="AH220">
            <v>4.8979999999999997</v>
          </cell>
          <cell r="AI220">
            <v>9.9498999999999995</v>
          </cell>
          <cell r="AJ220">
            <v>12.058126874064321</v>
          </cell>
          <cell r="AK220">
            <v>14.21358502098386</v>
          </cell>
          <cell r="AL220">
            <v>16.209917081835396</v>
          </cell>
          <cell r="AM220">
            <v>18.17089710664067</v>
          </cell>
          <cell r="AN220">
            <v>20.780768611355004</v>
          </cell>
          <cell r="AO220">
            <v>23.972043712696195</v>
          </cell>
        </row>
        <row r="221">
          <cell r="AC221">
            <v>65.852941176470594</v>
          </cell>
          <cell r="AD221">
            <v>67.191780821917817</v>
          </cell>
          <cell r="AE221">
            <v>66.416666666666671</v>
          </cell>
          <cell r="AF221">
            <v>60.489361702127653</v>
          </cell>
          <cell r="AG221">
            <v>58.893442622950822</v>
          </cell>
          <cell r="AH221">
            <v>56.298850574712645</v>
          </cell>
          <cell r="AI221">
            <v>56.214124293785304</v>
          </cell>
          <cell r="AJ221">
            <v>56.214124293785304</v>
          </cell>
          <cell r="AK221">
            <v>56.214124293785304</v>
          </cell>
          <cell r="AL221">
            <v>56.214124293785304</v>
          </cell>
          <cell r="AM221">
            <v>56.214124293785304</v>
          </cell>
          <cell r="AN221">
            <v>56.214124293785304</v>
          </cell>
          <cell r="AO221">
            <v>56.214124293785304</v>
          </cell>
        </row>
        <row r="222">
          <cell r="AC222">
            <v>-52.8</v>
          </cell>
          <cell r="AD222">
            <v>-15</v>
          </cell>
          <cell r="AE222">
            <v>-19.399999999999999</v>
          </cell>
          <cell r="AF222">
            <v>-25</v>
          </cell>
          <cell r="AG222">
            <v>159.6</v>
          </cell>
          <cell r="AH222">
            <v>-28.748999999999999</v>
          </cell>
          <cell r="AI222">
            <v>103.55</v>
          </cell>
          <cell r="AJ222">
            <v>18.894161016099957</v>
          </cell>
          <cell r="AK222">
            <v>14.397329256954734</v>
          </cell>
          <cell r="AL222">
            <v>13.098190669420688</v>
          </cell>
          <cell r="AM222">
            <v>11.798978200319794</v>
          </cell>
          <cell r="AN222">
            <v>13.797877578165441</v>
          </cell>
          <cell r="AO222">
            <v>14.516670766653846</v>
          </cell>
        </row>
        <row r="223">
          <cell r="AC223">
            <v>-2.8576021146250241E-2</v>
          </cell>
          <cell r="AD223">
            <v>28.865302262039279</v>
          </cell>
          <cell r="AE223">
            <v>0.79854708443045297</v>
          </cell>
          <cell r="AF223">
            <v>-4.8766206608113691</v>
          </cell>
          <cell r="AG223">
            <v>-2.6479223156163982</v>
          </cell>
          <cell r="AH223">
            <v>-4.3244330736761327</v>
          </cell>
          <cell r="AI223">
            <v>-0.20039360557935026</v>
          </cell>
          <cell r="AJ223">
            <v>1.9296672795838816</v>
          </cell>
          <cell r="AK223">
            <v>3.0404856798422344</v>
          </cell>
          <cell r="AL223">
            <v>0.8373687031703696</v>
          </cell>
          <cell r="AM223">
            <v>0.26693549013141649</v>
          </cell>
          <cell r="AN223">
            <v>0.49653203485510744</v>
          </cell>
          <cell r="AO223">
            <v>0.73368945215590031</v>
          </cell>
        </row>
        <row r="225">
          <cell r="AC225">
            <v>111.7</v>
          </cell>
          <cell r="AD225">
            <v>120.7</v>
          </cell>
          <cell r="AE225">
            <v>119</v>
          </cell>
          <cell r="AF225">
            <v>176.3</v>
          </cell>
          <cell r="AG225">
            <v>224.4</v>
          </cell>
          <cell r="AH225">
            <v>304.89999999999998</v>
          </cell>
          <cell r="AI225">
            <v>391.2</v>
          </cell>
          <cell r="AJ225">
            <v>407.99032615739713</v>
          </cell>
          <cell r="AK225">
            <v>432.10453735613152</v>
          </cell>
          <cell r="AL225">
            <v>470.55882147242806</v>
          </cell>
          <cell r="AM225">
            <v>516.19095318518998</v>
          </cell>
          <cell r="AN225">
            <v>560.81288909188709</v>
          </cell>
          <cell r="AO225">
            <v>608.70890259524697</v>
          </cell>
        </row>
        <row r="226">
          <cell r="AC226">
            <v>79.91</v>
          </cell>
          <cell r="AD226">
            <v>85.240000000000009</v>
          </cell>
          <cell r="AE226">
            <v>84.61</v>
          </cell>
          <cell r="AF226">
            <v>134.69999999999999</v>
          </cell>
          <cell r="AG226">
            <v>154.60000000000002</v>
          </cell>
          <cell r="AH226">
            <v>213.05999999999997</v>
          </cell>
          <cell r="AI226">
            <v>273.39999999999998</v>
          </cell>
          <cell r="AJ226">
            <v>285.13434348525664</v>
          </cell>
          <cell r="AK226">
            <v>301.98716900093655</v>
          </cell>
          <cell r="AL226">
            <v>328.86191664254045</v>
          </cell>
          <cell r="AM226">
            <v>360.75308435795228</v>
          </cell>
          <cell r="AN226">
            <v>391.93825122117062</v>
          </cell>
          <cell r="AO226">
            <v>425.41158990168844</v>
          </cell>
        </row>
        <row r="227">
          <cell r="AC227">
            <v>31.79</v>
          </cell>
          <cell r="AD227">
            <v>35.46</v>
          </cell>
          <cell r="AE227">
            <v>34.39</v>
          </cell>
          <cell r="AF227">
            <v>41.600000000000023</v>
          </cell>
          <cell r="AG227">
            <v>69.8</v>
          </cell>
          <cell r="AH227">
            <v>91.84</v>
          </cell>
          <cell r="AI227">
            <v>117.8</v>
          </cell>
          <cell r="AJ227">
            <v>122.85598267214053</v>
          </cell>
          <cell r="AK227">
            <v>130.117368355195</v>
          </cell>
          <cell r="AL227">
            <v>141.69690482988759</v>
          </cell>
          <cell r="AM227">
            <v>155.43786882723768</v>
          </cell>
          <cell r="AN227">
            <v>168.8746378707165</v>
          </cell>
          <cell r="AO227">
            <v>183.29731269355852</v>
          </cell>
        </row>
        <row r="228">
          <cell r="AC228">
            <v>28.460161145926588</v>
          </cell>
          <cell r="AD228">
            <v>29.378624689312343</v>
          </cell>
          <cell r="AE228">
            <v>28.899159663865547</v>
          </cell>
          <cell r="AF228">
            <v>23.596142938173578</v>
          </cell>
          <cell r="AG228">
            <v>31.105169340463455</v>
          </cell>
          <cell r="AH228">
            <v>30.121351262709091</v>
          </cell>
          <cell r="AI228">
            <v>30.11247443762781</v>
          </cell>
          <cell r="AJ228">
            <v>30.11247443762781</v>
          </cell>
          <cell r="AK228">
            <v>30.11247443762781</v>
          </cell>
          <cell r="AL228">
            <v>30.11247443762781</v>
          </cell>
          <cell r="AM228">
            <v>30.11247443762781</v>
          </cell>
          <cell r="AN228">
            <v>30.11247443762781</v>
          </cell>
          <cell r="AO228">
            <v>30.11247443762781</v>
          </cell>
        </row>
        <row r="229">
          <cell r="AC229">
            <v>49.75</v>
          </cell>
          <cell r="AD229">
            <v>29.45</v>
          </cell>
          <cell r="AE229">
            <v>-0.2</v>
          </cell>
          <cell r="AF229">
            <v>39.799999999999997</v>
          </cell>
          <cell r="AG229">
            <v>10.1</v>
          </cell>
          <cell r="AH229">
            <v>22.1</v>
          </cell>
          <cell r="AI229">
            <v>45.9</v>
          </cell>
          <cell r="AJ229">
            <v>2.5060710343970385</v>
          </cell>
          <cell r="AK229">
            <v>3.1080384662825082</v>
          </cell>
          <cell r="AL229">
            <v>3.649152841137024</v>
          </cell>
          <cell r="AM229">
            <v>2.8071984826120229</v>
          </cell>
          <cell r="AN229">
            <v>1.4740958987149924</v>
          </cell>
          <cell r="AO229">
            <v>1.2470644058561788</v>
          </cell>
        </row>
        <row r="230">
          <cell r="AC230">
            <v>12.024878755709807</v>
          </cell>
          <cell r="AD230">
            <v>-13.8319730765011</v>
          </cell>
          <cell r="AE230">
            <v>-2.8231307510678505</v>
          </cell>
          <cell r="AF230">
            <v>-13.472534393627541</v>
          </cell>
          <cell r="AG230">
            <v>52.396422832390044</v>
          </cell>
          <cell r="AH230">
            <v>7.7607954398785353</v>
          </cell>
          <cell r="AI230">
            <v>-12.085983192153478</v>
          </cell>
          <cell r="AJ230">
            <v>1.7422720542668912</v>
          </cell>
          <cell r="AK230">
            <v>2.7179719422707933</v>
          </cell>
          <cell r="AL230">
            <v>5.0653075085369039</v>
          </cell>
          <cell r="AM230">
            <v>6.7020945420822642</v>
          </cell>
          <cell r="AN230">
            <v>7.0662044612957544</v>
          </cell>
          <cell r="AO230">
            <v>7.2035648256658931</v>
          </cell>
        </row>
        <row r="232">
          <cell r="AC232">
            <v>60.6</v>
          </cell>
          <cell r="AD232">
            <v>78.2</v>
          </cell>
          <cell r="AE232">
            <v>76.3</v>
          </cell>
          <cell r="AF232">
            <v>80</v>
          </cell>
          <cell r="AG232">
            <v>98.5</v>
          </cell>
          <cell r="AH232">
            <v>90.4</v>
          </cell>
          <cell r="AI232">
            <v>91.9</v>
          </cell>
          <cell r="AJ232">
            <v>106.71961170567819</v>
          </cell>
          <cell r="AK232">
            <v>118.21018836344328</v>
          </cell>
          <cell r="AL232">
            <v>126.82729388325953</v>
          </cell>
          <cell r="AM232">
            <v>135.42165405104092</v>
          </cell>
          <cell r="AN232">
            <v>145.05514699426874</v>
          </cell>
          <cell r="AO232">
            <v>145.10665532607018</v>
          </cell>
        </row>
        <row r="233">
          <cell r="AC233">
            <v>26.28</v>
          </cell>
          <cell r="AD233">
            <v>56.1</v>
          </cell>
          <cell r="AE233">
            <v>54.459999999999994</v>
          </cell>
          <cell r="AF233">
            <v>58.64</v>
          </cell>
          <cell r="AG233">
            <v>67.260000000000005</v>
          </cell>
          <cell r="AH233">
            <v>57.930000000000007</v>
          </cell>
          <cell r="AI233">
            <v>58.850000000000009</v>
          </cell>
          <cell r="AJ233">
            <v>68.340034264191104</v>
          </cell>
          <cell r="AK233">
            <v>75.698254463423694</v>
          </cell>
          <cell r="AL233">
            <v>81.216390043850083</v>
          </cell>
          <cell r="AM233">
            <v>86.719960183936436</v>
          </cell>
          <cell r="AN233">
            <v>92.888959745513773</v>
          </cell>
          <cell r="AO233">
            <v>92.921944134268017</v>
          </cell>
        </row>
        <row r="234">
          <cell r="AC234">
            <v>34.32</v>
          </cell>
          <cell r="AD234">
            <v>22.1</v>
          </cell>
          <cell r="AE234">
            <v>21.84</v>
          </cell>
          <cell r="AF234">
            <v>21.36</v>
          </cell>
          <cell r="AG234">
            <v>31.24</v>
          </cell>
          <cell r="AH234">
            <v>32.47</v>
          </cell>
          <cell r="AI234">
            <v>33.049999999999997</v>
          </cell>
          <cell r="AJ234">
            <v>38.379577441487093</v>
          </cell>
          <cell r="AK234">
            <v>42.511933900019585</v>
          </cell>
          <cell r="AL234">
            <v>45.610903839409438</v>
          </cell>
          <cell r="AM234">
            <v>48.701693867104481</v>
          </cell>
          <cell r="AN234">
            <v>52.166187248754966</v>
          </cell>
          <cell r="AO234">
            <v>52.184711191802172</v>
          </cell>
        </row>
        <row r="235">
          <cell r="AC235">
            <v>56.633663366336627</v>
          </cell>
          <cell r="AD235">
            <v>28.260869565217394</v>
          </cell>
          <cell r="AE235">
            <v>28.623853211009177</v>
          </cell>
          <cell r="AF235">
            <v>26.700000000000003</v>
          </cell>
          <cell r="AG235">
            <v>31.715736040609137</v>
          </cell>
          <cell r="AH235">
            <v>35.91814159292035</v>
          </cell>
          <cell r="AI235">
            <v>35.963003264417843</v>
          </cell>
          <cell r="AJ235">
            <v>35.963003264417843</v>
          </cell>
          <cell r="AK235">
            <v>35.963003264417843</v>
          </cell>
          <cell r="AL235">
            <v>35.963003264417843</v>
          </cell>
          <cell r="AM235">
            <v>35.963003264417843</v>
          </cell>
          <cell r="AN235">
            <v>35.963003264417843</v>
          </cell>
          <cell r="AO235">
            <v>35.963003264417843</v>
          </cell>
        </row>
        <row r="236">
          <cell r="AC236">
            <v>5.2</v>
          </cell>
          <cell r="AD236">
            <v>13.349</v>
          </cell>
          <cell r="AE236">
            <v>-1.1000000000000001</v>
          </cell>
          <cell r="AF236">
            <v>4.2</v>
          </cell>
          <cell r="AG236">
            <v>14.85</v>
          </cell>
          <cell r="AH236">
            <v>-11.65</v>
          </cell>
          <cell r="AI236">
            <v>1.94</v>
          </cell>
          <cell r="AJ236">
            <v>11.246737933621873</v>
          </cell>
          <cell r="AK236">
            <v>6.3041631809552996</v>
          </cell>
          <cell r="AL236">
            <v>6.39869766446634</v>
          </cell>
          <cell r="AM236">
            <v>6.4921625556753497</v>
          </cell>
          <cell r="AN236">
            <v>6.5844759552705199</v>
          </cell>
          <cell r="AO236">
            <v>-0.69309480633098985</v>
          </cell>
        </row>
        <row r="237">
          <cell r="AC237">
            <v>14.148265026195574</v>
          </cell>
          <cell r="AD237">
            <v>-43.18967137430468</v>
          </cell>
          <cell r="AE237">
            <v>-7.7321120561478551E-2</v>
          </cell>
          <cell r="AF237">
            <v>-6.139925333783296</v>
          </cell>
          <cell r="AG237">
            <v>27.344085022150693</v>
          </cell>
          <cell r="AH237">
            <v>17.642625832682995</v>
          </cell>
          <cell r="AI237">
            <v>-0.15081004128168729</v>
          </cell>
          <cell r="AJ237">
            <v>4.3858038405377044</v>
          </cell>
          <cell r="AK237">
            <v>4.198243945907862</v>
          </cell>
          <cell r="AL237">
            <v>0.8373687031703696</v>
          </cell>
          <cell r="AM237">
            <v>0.26693549013141649</v>
          </cell>
          <cell r="AN237">
            <v>0.49653203485510744</v>
          </cell>
          <cell r="AO237">
            <v>0.73368945215590031</v>
          </cell>
        </row>
        <row r="239">
          <cell r="AC239">
            <v>408.2</v>
          </cell>
          <cell r="AD239">
            <v>504.1</v>
          </cell>
          <cell r="AE239">
            <v>324.5</v>
          </cell>
          <cell r="AF239">
            <v>516</v>
          </cell>
          <cell r="AG239">
            <v>581</v>
          </cell>
          <cell r="AH239">
            <v>583.20000000000005</v>
          </cell>
          <cell r="AI239">
            <v>642.4</v>
          </cell>
          <cell r="AJ239">
            <v>700.04210432393222</v>
          </cell>
          <cell r="AK239">
            <v>753.64572231202783</v>
          </cell>
          <cell r="AL239">
            <v>799.23638220186365</v>
          </cell>
          <cell r="AM239">
            <v>825.06584514762324</v>
          </cell>
          <cell r="AN239">
            <v>855.67988817545006</v>
          </cell>
          <cell r="AO239">
            <v>860.79080790747378</v>
          </cell>
        </row>
        <row r="240">
          <cell r="AC240">
            <v>241.06</v>
          </cell>
          <cell r="AD240">
            <v>297.8</v>
          </cell>
          <cell r="AE240">
            <v>196.88</v>
          </cell>
          <cell r="AF240">
            <v>305.60000000000002</v>
          </cell>
          <cell r="AG240">
            <v>339.9</v>
          </cell>
          <cell r="AH240">
            <v>328.90000000000003</v>
          </cell>
          <cell r="AI240">
            <v>362.29999999999995</v>
          </cell>
          <cell r="AJ240">
            <v>394.80892652017531</v>
          </cell>
          <cell r="AK240">
            <v>425.04023224415886</v>
          </cell>
          <cell r="AL240">
            <v>450.75239923993644</v>
          </cell>
          <cell r="AM240">
            <v>465.31966951585287</v>
          </cell>
          <cell r="AN240">
            <v>482.58534166557519</v>
          </cell>
          <cell r="AO240">
            <v>485.46779219314715</v>
          </cell>
        </row>
        <row r="241">
          <cell r="AC241">
            <v>167.14</v>
          </cell>
          <cell r="AD241">
            <v>206.3</v>
          </cell>
          <cell r="AE241">
            <v>127.62</v>
          </cell>
          <cell r="AF241">
            <v>210.39999999999998</v>
          </cell>
          <cell r="AG241">
            <v>241.1</v>
          </cell>
          <cell r="AH241">
            <v>254.3</v>
          </cell>
          <cell r="AI241">
            <v>280.10000000000002</v>
          </cell>
          <cell r="AJ241">
            <v>305.23317780375692</v>
          </cell>
          <cell r="AK241">
            <v>328.60549006786897</v>
          </cell>
          <cell r="AL241">
            <v>348.48398296192721</v>
          </cell>
          <cell r="AM241">
            <v>359.74617563177037</v>
          </cell>
          <cell r="AN241">
            <v>373.09454650987487</v>
          </cell>
          <cell r="AO241">
            <v>375.32301571432663</v>
          </cell>
        </row>
        <row r="242">
          <cell r="AC242">
            <v>40.945614894659478</v>
          </cell>
          <cell r="AD242">
            <v>40.924419757984523</v>
          </cell>
          <cell r="AE242">
            <v>39.328197226502311</v>
          </cell>
          <cell r="AF242">
            <v>40.775193798449614</v>
          </cell>
          <cell r="AG242">
            <v>41.497418244406198</v>
          </cell>
          <cell r="AH242">
            <v>43.604252400548695</v>
          </cell>
          <cell r="AI242">
            <v>43.602117061021175</v>
          </cell>
          <cell r="AJ242">
            <v>43.602117061021175</v>
          </cell>
          <cell r="AK242">
            <v>43.602117061021175</v>
          </cell>
          <cell r="AL242">
            <v>43.602117061021175</v>
          </cell>
          <cell r="AM242">
            <v>43.602117061021175</v>
          </cell>
          <cell r="AN242">
            <v>43.602117061021175</v>
          </cell>
          <cell r="AO242">
            <v>43.602117061021175</v>
          </cell>
        </row>
        <row r="243">
          <cell r="AC243">
            <v>1.3</v>
          </cell>
          <cell r="AD243">
            <v>33</v>
          </cell>
          <cell r="AE243">
            <v>-35.4</v>
          </cell>
          <cell r="AF243">
            <v>56.5</v>
          </cell>
          <cell r="AG243">
            <v>11.5</v>
          </cell>
          <cell r="AH243">
            <v>-3.6</v>
          </cell>
          <cell r="AI243">
            <v>10.6</v>
          </cell>
          <cell r="AJ243">
            <v>4.1493395761853691</v>
          </cell>
          <cell r="AK243">
            <v>3.3195906788410383</v>
          </cell>
          <cell r="AL243">
            <v>4.2421027482156859</v>
          </cell>
          <cell r="AM243">
            <v>2.0498294572930149</v>
          </cell>
          <cell r="AN243">
            <v>2.2888511650511134</v>
          </cell>
          <cell r="AO243">
            <v>-1.0152668845502859</v>
          </cell>
        </row>
        <row r="244">
          <cell r="AC244">
            <v>-3.3080964804008204</v>
          </cell>
          <cell r="AD244">
            <v>-7.1958944867253649</v>
          </cell>
          <cell r="AE244">
            <v>-4.2393700598335187</v>
          </cell>
          <cell r="AF244">
            <v>5.3446909329964569</v>
          </cell>
          <cell r="AG244">
            <v>2.772425787310965</v>
          </cell>
          <cell r="AH244">
            <v>9.413803607600741</v>
          </cell>
          <cell r="AI244">
            <v>-0.41094263656074759</v>
          </cell>
          <cell r="AJ244">
            <v>4.631417496633091</v>
          </cell>
          <cell r="AK244">
            <v>4.198243945907862</v>
          </cell>
          <cell r="AL244">
            <v>1.7337008694207725</v>
          </cell>
          <cell r="AM244">
            <v>1.1581971389325645</v>
          </cell>
          <cell r="AN244">
            <v>1.3898345418315898</v>
          </cell>
          <cell r="AO244">
            <v>1.6291000250639627</v>
          </cell>
        </row>
        <row r="246">
          <cell r="AC246">
            <v>1994.1</v>
          </cell>
          <cell r="AD246">
            <v>2028.2</v>
          </cell>
          <cell r="AE246">
            <v>2286.1999999999998</v>
          </cell>
          <cell r="AF246">
            <v>2698.1</v>
          </cell>
          <cell r="AG246">
            <v>3057.3</v>
          </cell>
          <cell r="AH246">
            <v>3181.3</v>
          </cell>
          <cell r="AI246">
            <v>3184.1</v>
          </cell>
          <cell r="AJ246">
            <v>3360.4451335446165</v>
          </cell>
          <cell r="AK246">
            <v>3517.7132339721616</v>
          </cell>
          <cell r="AL246">
            <v>3677.5980758873388</v>
          </cell>
          <cell r="AM246">
            <v>3852.3122150974064</v>
          </cell>
          <cell r="AN246">
            <v>4038.160310909795</v>
          </cell>
          <cell r="AO246">
            <v>4172.0089306103782</v>
          </cell>
        </row>
        <row r="247">
          <cell r="AC247">
            <v>1216.1999999999998</v>
          </cell>
          <cell r="AD247">
            <v>1236.5</v>
          </cell>
          <cell r="AE247">
            <v>1395.9999999999998</v>
          </cell>
          <cell r="AF247">
            <v>1605.36</v>
          </cell>
          <cell r="AG247">
            <v>1786.16</v>
          </cell>
          <cell r="AH247">
            <v>1861.0600000000002</v>
          </cell>
          <cell r="AI247">
            <v>1862.6999999999998</v>
          </cell>
          <cell r="AJ247">
            <v>1965.8619861981588</v>
          </cell>
          <cell r="AK247">
            <v>2057.8638990358168</v>
          </cell>
          <cell r="AL247">
            <v>2151.396606876463</v>
          </cell>
          <cell r="AM247">
            <v>2253.6044606205642</v>
          </cell>
          <cell r="AN247">
            <v>2362.3256842221272</v>
          </cell>
          <cell r="AO247">
            <v>2440.6271898018126</v>
          </cell>
        </row>
        <row r="248">
          <cell r="AC248">
            <v>777.9</v>
          </cell>
          <cell r="AD248">
            <v>791.7</v>
          </cell>
          <cell r="AE248">
            <v>890.2</v>
          </cell>
          <cell r="AF248">
            <v>1092.74</v>
          </cell>
          <cell r="AG248">
            <v>1271.1400000000001</v>
          </cell>
          <cell r="AH248">
            <v>1320.24</v>
          </cell>
          <cell r="AI248">
            <v>1321.4</v>
          </cell>
          <cell r="AJ248">
            <v>1394.5831473464577</v>
          </cell>
          <cell r="AK248">
            <v>1459.8493349363446</v>
          </cell>
          <cell r="AL248">
            <v>1526.2014690108758</v>
          </cell>
          <cell r="AM248">
            <v>1598.707754476842</v>
          </cell>
          <cell r="AN248">
            <v>1675.8346266876679</v>
          </cell>
          <cell r="AO248">
            <v>1731.3817408085656</v>
          </cell>
        </row>
        <row r="249">
          <cell r="AC249">
            <v>39.010079735218895</v>
          </cell>
          <cell r="AD249">
            <v>39.034611971205997</v>
          </cell>
          <cell r="AE249">
            <v>38.937975680167966</v>
          </cell>
          <cell r="AF249">
            <v>40.500352099625665</v>
          </cell>
          <cell r="AG249">
            <v>41.577208648153601</v>
          </cell>
          <cell r="AH249">
            <v>41.500015716845311</v>
          </cell>
          <cell r="AI249">
            <v>41.499952890926792</v>
          </cell>
          <cell r="AJ249">
            <v>41.499952890926792</v>
          </cell>
          <cell r="AK249">
            <v>41.499952890926792</v>
          </cell>
          <cell r="AL249">
            <v>41.499952890926792</v>
          </cell>
          <cell r="AM249">
            <v>41.499952890926792</v>
          </cell>
          <cell r="AN249">
            <v>41.499952890926792</v>
          </cell>
          <cell r="AO249">
            <v>41.499952890926792</v>
          </cell>
        </row>
        <row r="250">
          <cell r="AC250">
            <v>7</v>
          </cell>
          <cell r="AD250">
            <v>3.4990000000000001</v>
          </cell>
          <cell r="AE250">
            <v>0.5</v>
          </cell>
          <cell r="AF250">
            <v>7.4</v>
          </cell>
          <cell r="AG250">
            <v>3.1</v>
          </cell>
          <cell r="AH250">
            <v>1</v>
          </cell>
          <cell r="AI250">
            <v>-1.7</v>
          </cell>
          <cell r="AJ250">
            <v>5.5383038706264358</v>
          </cell>
          <cell r="AK250">
            <v>4.6799782224582316</v>
          </cell>
          <cell r="AL250">
            <v>4.5451357538498485</v>
          </cell>
          <cell r="AM250">
            <v>4.750767637051041</v>
          </cell>
          <cell r="AN250">
            <v>4.8243258966404738</v>
          </cell>
          <cell r="AO250">
            <v>3.3145940080428886</v>
          </cell>
        </row>
        <row r="251">
          <cell r="AC251">
            <v>-0.32775626619240938</v>
          </cell>
          <cell r="AD251">
            <v>-1.666676062796455</v>
          </cell>
          <cell r="AE251">
            <v>11.882170554327033</v>
          </cell>
          <cell r="AF251">
            <v>14.294404580060032</v>
          </cell>
          <cell r="AG251">
            <v>12.828257008556989</v>
          </cell>
          <cell r="AH251">
            <v>2.8343311383233214</v>
          </cell>
          <cell r="AI251">
            <v>1.8187821086692963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</row>
        <row r="253">
          <cell r="AC253">
            <v>326.3</v>
          </cell>
          <cell r="AD253">
            <v>336.2</v>
          </cell>
          <cell r="AE253">
            <v>374.6</v>
          </cell>
          <cell r="AF253">
            <v>460.6</v>
          </cell>
          <cell r="AG253">
            <v>538.4</v>
          </cell>
          <cell r="AH253">
            <v>644.29999999999995</v>
          </cell>
          <cell r="AI253">
            <v>668</v>
          </cell>
          <cell r="AJ253">
            <v>693.99476080402428</v>
          </cell>
          <cell r="AK253">
            <v>706.60714862952102</v>
          </cell>
          <cell r="AL253">
            <v>731.67943083166585</v>
          </cell>
          <cell r="AM253">
            <v>753.06351324558796</v>
          </cell>
          <cell r="AN253">
            <v>771.79976853970413</v>
          </cell>
          <cell r="AO253">
            <v>690.07939037863434</v>
          </cell>
        </row>
        <row r="254">
          <cell r="AC254">
            <v>180.60000000000002</v>
          </cell>
          <cell r="AD254">
            <v>186.6</v>
          </cell>
          <cell r="AE254">
            <v>208.8</v>
          </cell>
          <cell r="AF254">
            <v>229.40000000000003</v>
          </cell>
          <cell r="AG254">
            <v>298.29999999999995</v>
          </cell>
          <cell r="AH254">
            <v>372.99999999999994</v>
          </cell>
          <cell r="AI254">
            <v>386.8</v>
          </cell>
          <cell r="AJ254">
            <v>401.85205610628236</v>
          </cell>
          <cell r="AK254">
            <v>409.15515732020765</v>
          </cell>
          <cell r="AL254">
            <v>423.67305964923406</v>
          </cell>
          <cell r="AM254">
            <v>436.05533970567876</v>
          </cell>
          <cell r="AN254">
            <v>446.9044168729904</v>
          </cell>
          <cell r="AO254">
            <v>399.58489251265831</v>
          </cell>
        </row>
        <row r="255">
          <cell r="AC255">
            <v>145.69999999999999</v>
          </cell>
          <cell r="AD255">
            <v>149.6</v>
          </cell>
          <cell r="AE255">
            <v>165.8</v>
          </cell>
          <cell r="AF255">
            <v>231.2</v>
          </cell>
          <cell r="AG255">
            <v>240.1</v>
          </cell>
          <cell r="AH255">
            <v>271.3</v>
          </cell>
          <cell r="AI255">
            <v>281.2</v>
          </cell>
          <cell r="AJ255">
            <v>292.14270469774192</v>
          </cell>
          <cell r="AK255">
            <v>297.45199130931337</v>
          </cell>
          <cell r="AL255">
            <v>308.00637118243179</v>
          </cell>
          <cell r="AM255">
            <v>317.00817353990919</v>
          </cell>
          <cell r="AN255">
            <v>324.89535166671374</v>
          </cell>
          <cell r="AO255">
            <v>290.49449786597603</v>
          </cell>
        </row>
        <row r="256">
          <cell r="AC256">
            <v>44.652160588415562</v>
          </cell>
          <cell r="AD256">
            <v>44.497323022010711</v>
          </cell>
          <cell r="AE256">
            <v>44.260544580886283</v>
          </cell>
          <cell r="AF256">
            <v>50.195397307859309</v>
          </cell>
          <cell r="AG256">
            <v>44.595096582466567</v>
          </cell>
          <cell r="AH256">
            <v>42.107713797920226</v>
          </cell>
          <cell r="AI256">
            <v>42.095808383233532</v>
          </cell>
          <cell r="AJ256">
            <v>42.095808383233532</v>
          </cell>
          <cell r="AK256">
            <v>42.095808383233532</v>
          </cell>
          <cell r="AL256">
            <v>42.095808383233532</v>
          </cell>
          <cell r="AM256">
            <v>42.095808383233532</v>
          </cell>
          <cell r="AN256">
            <v>42.095808383233532</v>
          </cell>
          <cell r="AO256">
            <v>42.095808383233532</v>
          </cell>
        </row>
        <row r="257">
          <cell r="AC257">
            <v>3.7</v>
          </cell>
          <cell r="AD257">
            <v>5.96</v>
          </cell>
          <cell r="AE257">
            <v>-4.5</v>
          </cell>
          <cell r="AF257">
            <v>13.601000000000001</v>
          </cell>
          <cell r="AG257">
            <v>8.6999999999999993</v>
          </cell>
          <cell r="AH257">
            <v>15.9</v>
          </cell>
          <cell r="AI257">
            <v>2.7</v>
          </cell>
          <cell r="AJ257">
            <v>7.3515179207777095</v>
          </cell>
          <cell r="AK257">
            <v>1.8173606686720234</v>
          </cell>
          <cell r="AL257">
            <v>3.5482633102103591</v>
          </cell>
          <cell r="AM257">
            <v>2.9226026471204563</v>
          </cell>
          <cell r="AN257">
            <v>2.4880046589119473</v>
          </cell>
          <cell r="AO257">
            <v>-10.588287466798548</v>
          </cell>
        </row>
        <row r="258">
          <cell r="AC258">
            <v>4.6955636961486107</v>
          </cell>
          <cell r="AD258">
            <v>-3.0985909654204562</v>
          </cell>
          <cell r="AE258">
            <v>16.051180110311634</v>
          </cell>
          <cell r="AF258">
            <v>22.749900613461733</v>
          </cell>
          <cell r="AG258">
            <v>-4.4622990166898546</v>
          </cell>
          <cell r="AH258">
            <v>-2.5068286545834439</v>
          </cell>
          <cell r="AI258">
            <v>0.92414502498159834</v>
          </cell>
          <cell r="AJ258">
            <v>-3.2231371569833698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</row>
        <row r="260">
          <cell r="AC260">
            <v>7693.4</v>
          </cell>
          <cell r="AD260">
            <v>8608.7999999999993</v>
          </cell>
          <cell r="AE260">
            <v>9057.2000000000007</v>
          </cell>
          <cell r="AF260">
            <v>9991.1</v>
          </cell>
          <cell r="AG260">
            <v>11916.9</v>
          </cell>
          <cell r="AH260">
            <v>13228.5</v>
          </cell>
          <cell r="AI260">
            <v>13949.2</v>
          </cell>
          <cell r="AJ260">
            <v>14692.735839328259</v>
          </cell>
          <cell r="AK260">
            <v>15170.039864999486</v>
          </cell>
          <cell r="AL260">
            <v>15830.816289680641</v>
          </cell>
          <cell r="AM260">
            <v>16563.516107856613</v>
          </cell>
          <cell r="AN260">
            <v>17366.507335750175</v>
          </cell>
          <cell r="AO260">
            <v>17857.0379599552</v>
          </cell>
        </row>
        <row r="261">
          <cell r="AC261">
            <v>3522.9</v>
          </cell>
          <cell r="AD261">
            <v>3944.5999999999995</v>
          </cell>
          <cell r="AE261">
            <v>4166.2000000000007</v>
          </cell>
          <cell r="AF261">
            <v>4654.34</v>
          </cell>
          <cell r="AG261">
            <v>5737.7999999999993</v>
          </cell>
          <cell r="AH261">
            <v>6443.4</v>
          </cell>
          <cell r="AI261">
            <v>6802.1</v>
          </cell>
          <cell r="AJ261">
            <v>7164.6731319856881</v>
          </cell>
          <cell r="AK261">
            <v>7397.4226597735351</v>
          </cell>
          <cell r="AL261">
            <v>7719.6395122327231</v>
          </cell>
          <cell r="AM261">
            <v>8076.9286351368883</v>
          </cell>
          <cell r="AN261">
            <v>8468.4942181993429</v>
          </cell>
          <cell r="AO261">
            <v>8707.6934811610172</v>
          </cell>
        </row>
        <row r="262">
          <cell r="AC262">
            <v>4174.8</v>
          </cell>
          <cell r="AD262">
            <v>4664.2</v>
          </cell>
          <cell r="AE262">
            <v>4891</v>
          </cell>
          <cell r="AF262">
            <v>5336.76</v>
          </cell>
          <cell r="AG262">
            <v>6179.1</v>
          </cell>
          <cell r="AH262">
            <v>6785.1</v>
          </cell>
          <cell r="AI262">
            <v>7147.1</v>
          </cell>
          <cell r="AJ262">
            <v>7528.0627073425712</v>
          </cell>
          <cell r="AK262">
            <v>7772.6172052259508</v>
          </cell>
          <cell r="AL262">
            <v>8111.1767774479176</v>
          </cell>
          <cell r="AM262">
            <v>8486.5874727197242</v>
          </cell>
          <cell r="AN262">
            <v>8898.0131175508322</v>
          </cell>
          <cell r="AO262">
            <v>9149.3444787941826</v>
          </cell>
        </row>
        <row r="263">
          <cell r="AC263">
            <v>54.2646944133933</v>
          </cell>
          <cell r="AD263">
            <v>54.179444289564174</v>
          </cell>
          <cell r="AE263">
            <v>54.001236585258127</v>
          </cell>
          <cell r="AF263">
            <v>53.415139474131976</v>
          </cell>
          <cell r="AG263">
            <v>51.851572137049075</v>
          </cell>
          <cell r="AH263">
            <v>51.29152965188797</v>
          </cell>
          <cell r="AI263">
            <v>51.236630057637711</v>
          </cell>
          <cell r="AJ263">
            <v>51.236630057637711</v>
          </cell>
          <cell r="AK263">
            <v>51.236630057637711</v>
          </cell>
          <cell r="AL263">
            <v>51.236630057637711</v>
          </cell>
          <cell r="AM263">
            <v>51.236630057637711</v>
          </cell>
          <cell r="AN263">
            <v>51.236630057637711</v>
          </cell>
          <cell r="AO263">
            <v>51.236630057637711</v>
          </cell>
        </row>
        <row r="264">
          <cell r="AC264">
            <v>4.5999999999999996</v>
          </cell>
          <cell r="AD264">
            <v>7.25</v>
          </cell>
          <cell r="AE264">
            <v>1.9490000000000001</v>
          </cell>
          <cell r="AF264">
            <v>3.3</v>
          </cell>
          <cell r="AG264">
            <v>3.4</v>
          </cell>
          <cell r="AH264">
            <v>2.96</v>
          </cell>
          <cell r="AI264">
            <v>1.4</v>
          </cell>
          <cell r="AJ264">
            <v>2.3377664791054191</v>
          </cell>
          <cell r="AK264">
            <v>3.1433240102374498</v>
          </cell>
          <cell r="AL264">
            <v>2.8338064033419652</v>
          </cell>
          <cell r="AM264">
            <v>2.9290520926088845</v>
          </cell>
          <cell r="AN264">
            <v>3.0185256417065567</v>
          </cell>
          <cell r="AO264">
            <v>1.0872394224465143</v>
          </cell>
        </row>
        <row r="265">
          <cell r="AC265">
            <v>1.1943051370435285</v>
          </cell>
          <cell r="AD265">
            <v>4.1703657397822411</v>
          </cell>
          <cell r="AE265">
            <v>2.8578703230884344</v>
          </cell>
          <cell r="AF265">
            <v>5.6281535736559647</v>
          </cell>
          <cell r="AG265">
            <v>11.976531867443455</v>
          </cell>
          <cell r="AH265">
            <v>6.6504015962674856</v>
          </cell>
          <cell r="AI265">
            <v>3.8808873963505732</v>
          </cell>
          <cell r="AJ265">
            <v>2.9241846109209035</v>
          </cell>
          <cell r="AK265">
            <v>0.10204001839066734</v>
          </cell>
          <cell r="AL265">
            <v>1.4800506931218536</v>
          </cell>
          <cell r="AM265">
            <v>1.650905590123017</v>
          </cell>
          <cell r="AN265">
            <v>1.77582221124662</v>
          </cell>
          <cell r="AO265">
            <v>1.7186531556838247</v>
          </cell>
        </row>
        <row r="269">
          <cell r="AC269">
            <v>13773</v>
          </cell>
          <cell r="AD269">
            <v>14052.5</v>
          </cell>
          <cell r="AE269">
            <v>12996.5</v>
          </cell>
          <cell r="AF269">
            <v>13063.8</v>
          </cell>
          <cell r="AG269">
            <v>15214.3</v>
          </cell>
          <cell r="AH269">
            <v>18045.900000000001</v>
          </cell>
          <cell r="AI269">
            <v>20042.7</v>
          </cell>
          <cell r="AJ269">
            <v>21581.998778770023</v>
          </cell>
          <cell r="AK269">
            <v>23027.40114728122</v>
          </cell>
          <cell r="AL269">
            <v>25167.445719423366</v>
          </cell>
          <cell r="AM269">
            <v>26576.586459884744</v>
          </cell>
          <cell r="AN269">
            <v>27609.622862547974</v>
          </cell>
          <cell r="AO269">
            <v>26710.266783012481</v>
          </cell>
        </row>
        <row r="270">
          <cell r="AC270">
            <v>7589.6</v>
          </cell>
          <cell r="AD270">
            <v>7953.7</v>
          </cell>
          <cell r="AE270">
            <v>7278</v>
          </cell>
          <cell r="AF270">
            <v>7520.4099999999989</v>
          </cell>
          <cell r="AG270">
            <v>8725.6</v>
          </cell>
          <cell r="AH270">
            <v>10412.500000000002</v>
          </cell>
          <cell r="AI270">
            <v>11564.6</v>
          </cell>
          <cell r="AJ270">
            <v>12452.772484593583</v>
          </cell>
          <cell r="AK270">
            <v>13286.766918022442</v>
          </cell>
          <cell r="AL270">
            <v>14521.568589403796</v>
          </cell>
          <cell r="AM270">
            <v>15334.640132017297</v>
          </cell>
          <cell r="AN270">
            <v>15930.70018292058</v>
          </cell>
          <cell r="AO270">
            <v>15411.773425677486</v>
          </cell>
        </row>
        <row r="271">
          <cell r="AC271">
            <v>6183.4</v>
          </cell>
          <cell r="AD271">
            <v>6098.8</v>
          </cell>
          <cell r="AE271">
            <v>5718.5</v>
          </cell>
          <cell r="AF271">
            <v>5543.39</v>
          </cell>
          <cell r="AG271">
            <v>6488.6999999999989</v>
          </cell>
          <cell r="AH271">
            <v>7633.4</v>
          </cell>
          <cell r="AI271">
            <v>8478.1</v>
          </cell>
          <cell r="AJ271">
            <v>9129.2262941764402</v>
          </cell>
          <cell r="AK271">
            <v>9740.6342292587779</v>
          </cell>
          <cell r="AL271">
            <v>10645.877130019569</v>
          </cell>
          <cell r="AM271">
            <v>11241.946327867447</v>
          </cell>
          <cell r="AN271">
            <v>11678.922679627394</v>
          </cell>
          <cell r="AO271">
            <v>11298.493357334995</v>
          </cell>
        </row>
        <row r="272">
          <cell r="AC272">
            <v>44.895084585783778</v>
          </cell>
          <cell r="AD272">
            <v>43.400106742572497</v>
          </cell>
          <cell r="AE272">
            <v>44.000307775170242</v>
          </cell>
          <cell r="AF272">
            <v>42.43321238843216</v>
          </cell>
          <cell r="AG272">
            <v>42.648692348645682</v>
          </cell>
          <cell r="AH272">
            <v>42.299912999628717</v>
          </cell>
          <cell r="AI272">
            <v>42.300189096279446</v>
          </cell>
          <cell r="AJ272">
            <v>42.300189096279446</v>
          </cell>
          <cell r="AK272">
            <v>42.300189096279446</v>
          </cell>
          <cell r="AL272">
            <v>42.300189096279446</v>
          </cell>
          <cell r="AM272">
            <v>42.300189096279446</v>
          </cell>
          <cell r="AN272">
            <v>42.300189096279446</v>
          </cell>
          <cell r="AO272">
            <v>42.300189096279446</v>
          </cell>
        </row>
        <row r="273">
          <cell r="AC273">
            <v>-8.8000000000000007</v>
          </cell>
          <cell r="AD273">
            <v>-2.8</v>
          </cell>
          <cell r="AE273">
            <v>-7.7</v>
          </cell>
          <cell r="AF273">
            <v>-1.6359999999999999</v>
          </cell>
          <cell r="AG273">
            <v>13.2</v>
          </cell>
          <cell r="AH273">
            <v>14.6</v>
          </cell>
          <cell r="AI273">
            <v>9.6</v>
          </cell>
          <cell r="AJ273">
            <v>5.8321599020684403</v>
          </cell>
          <cell r="AK273">
            <v>6.7448197794051765</v>
          </cell>
          <cell r="AL273">
            <v>4.262559398006303</v>
          </cell>
          <cell r="AM273">
            <v>1.7812148251281457</v>
          </cell>
          <cell r="AN273">
            <v>-0.10162992931483927</v>
          </cell>
          <cell r="AO273">
            <v>-6.8641011830996206</v>
          </cell>
        </row>
        <row r="276">
          <cell r="AC276">
            <v>0.43616655777445601</v>
          </cell>
          <cell r="AD276">
            <v>1.4730665444224798</v>
          </cell>
          <cell r="AE276">
            <v>1.5865082174132112</v>
          </cell>
          <cell r="AF276">
            <v>-1.4498868001444407</v>
          </cell>
          <cell r="AG276">
            <v>3.4036417753249566</v>
          </cell>
          <cell r="AH276">
            <v>2.6539600284032616</v>
          </cell>
          <cell r="AI276">
            <v>1.3374472807651756</v>
          </cell>
          <cell r="AJ276">
            <v>1.7461015504530337</v>
          </cell>
          <cell r="AK276">
            <v>-4.4555529381327119E-2</v>
          </cell>
          <cell r="AL276">
            <v>4.8252320243167333</v>
          </cell>
          <cell r="AM276">
            <v>3.7510326327502952</v>
          </cell>
          <cell r="AN276">
            <v>3.9927045953324267</v>
          </cell>
          <cell r="AO276">
            <v>3.872513623764732</v>
          </cell>
        </row>
        <row r="282">
          <cell r="AC282">
            <v>27870.400000000001</v>
          </cell>
          <cell r="AD282">
            <v>29884.800000000003</v>
          </cell>
          <cell r="AE282">
            <v>30387.599999999999</v>
          </cell>
          <cell r="AF282">
            <v>34786.870000000003</v>
          </cell>
          <cell r="AG282">
            <v>42599.199999999997</v>
          </cell>
          <cell r="AH282">
            <v>48530.5</v>
          </cell>
          <cell r="AI282">
            <v>52992.100000000006</v>
          </cell>
          <cell r="AJ282">
            <v>56644.81360525552</v>
          </cell>
          <cell r="AK282">
            <v>60287.761695588306</v>
          </cell>
          <cell r="AL282">
            <v>65296.251047040889</v>
          </cell>
          <cell r="AM282">
            <v>72247.535095166211</v>
          </cell>
          <cell r="AN282">
            <v>80109.095347190363</v>
          </cell>
          <cell r="AO282">
            <v>87962.943488089717</v>
          </cell>
        </row>
        <row r="284">
          <cell r="AC284">
            <v>3.8080657732442433</v>
          </cell>
          <cell r="AD284">
            <v>3.8064166642746429</v>
          </cell>
          <cell r="AE284">
            <v>-4.4477760266088442</v>
          </cell>
          <cell r="AF284">
            <v>7.7764684937277044</v>
          </cell>
          <cell r="AG284">
            <v>9.7640448939499276</v>
          </cell>
          <cell r="AH284">
            <v>2.9265314090405457</v>
          </cell>
          <cell r="AI284">
            <v>6.417341278165277</v>
          </cell>
          <cell r="AJ284">
            <v>4.2965363433169683</v>
          </cell>
          <cell r="AK284">
            <v>3.7338893750464739</v>
          </cell>
          <cell r="AL284">
            <v>3.5533179009130431</v>
          </cell>
          <cell r="AM284">
            <v>3.3571554523685201</v>
          </cell>
          <cell r="AN284">
            <v>3.4322659623784855</v>
          </cell>
          <cell r="AO284">
            <v>2.7671018204624982</v>
          </cell>
        </row>
        <row r="285">
          <cell r="AC285">
            <v>1.5808057297196427</v>
          </cell>
          <cell r="AD285">
            <v>3.2958686659228391</v>
          </cell>
          <cell r="AE285">
            <v>6.4155876447288875</v>
          </cell>
          <cell r="AF285">
            <v>6.2172380144507144</v>
          </cell>
          <cell r="AG285">
            <v>11.564490466492302</v>
          </cell>
          <cell r="AH285">
            <v>10.684290387744255</v>
          </cell>
          <cell r="AI285">
            <v>2.6086467991021607</v>
          </cell>
          <cell r="AJ285">
            <v>2.4894437041458843</v>
          </cell>
          <cell r="AK285">
            <v>2.6002328771045171</v>
          </cell>
          <cell r="AL285">
            <v>4.5911814111459393</v>
          </cell>
          <cell r="AM285">
            <v>7.051865334020647</v>
          </cell>
          <cell r="AN285">
            <v>7.201966866413585</v>
          </cell>
          <cell r="AO285">
            <v>6.8473652337982571</v>
          </cell>
        </row>
        <row r="287">
          <cell r="AC287">
            <v>11875</v>
          </cell>
          <cell r="AD287">
            <v>12693.5</v>
          </cell>
          <cell r="AE287">
            <v>12918.399999999998</v>
          </cell>
          <cell r="AF287">
            <v>14458.9</v>
          </cell>
          <cell r="AG287">
            <v>17118.900000000001</v>
          </cell>
          <cell r="AH287">
            <v>19833.400000000001</v>
          </cell>
          <cell r="AI287">
            <v>20861.8</v>
          </cell>
          <cell r="AJ287">
            <v>22234.881563741183</v>
          </cell>
          <cell r="AK287">
            <v>23963.516379756016</v>
          </cell>
          <cell r="AL287">
            <v>26403.038432781814</v>
          </cell>
          <cell r="AM287">
            <v>29445.612367790694</v>
          </cell>
          <cell r="AN287">
            <v>32969.338784614432</v>
          </cell>
          <cell r="AO287">
            <v>36726.666385627796</v>
          </cell>
        </row>
        <row r="288">
          <cell r="AC288">
            <v>4207.8999999999996</v>
          </cell>
          <cell r="AD288">
            <v>4507.6000000000004</v>
          </cell>
          <cell r="AE288">
            <v>4551.8999999999978</v>
          </cell>
          <cell r="AF288">
            <v>5118.5200000000004</v>
          </cell>
          <cell r="AG288">
            <v>6166.6</v>
          </cell>
          <cell r="AH288">
            <v>6986.9000000000015</v>
          </cell>
          <cell r="AI288">
            <v>7349.1999999999989</v>
          </cell>
          <cell r="AJ288">
            <v>7832.9095086831767</v>
          </cell>
          <cell r="AK288">
            <v>8441.8734039298106</v>
          </cell>
          <cell r="AL288">
            <v>9301.2688286820958</v>
          </cell>
          <cell r="AM288">
            <v>10373.107517729408</v>
          </cell>
          <cell r="AN288">
            <v>11614.44672060361</v>
          </cell>
          <cell r="AO288">
            <v>12938.079005706881</v>
          </cell>
        </row>
        <row r="289">
          <cell r="AC289">
            <v>7667.1</v>
          </cell>
          <cell r="AD289">
            <v>8185.9</v>
          </cell>
          <cell r="AE289">
            <v>8366.5</v>
          </cell>
          <cell r="AF289">
            <v>9340.3799999999992</v>
          </cell>
          <cell r="AG289">
            <v>10952.300000000001</v>
          </cell>
          <cell r="AH289">
            <v>12846.5</v>
          </cell>
          <cell r="AI289">
            <v>13512.6</v>
          </cell>
          <cell r="AJ289">
            <v>14401.972055058006</v>
          </cell>
          <cell r="AK289">
            <v>15521.642975826206</v>
          </cell>
          <cell r="AL289">
            <v>17101.769604099718</v>
          </cell>
          <cell r="AM289">
            <v>19072.504850061287</v>
          </cell>
          <cell r="AN289">
            <v>21354.892064010823</v>
          </cell>
          <cell r="AO289">
            <v>23788.587379920915</v>
          </cell>
        </row>
        <row r="290">
          <cell r="AC290">
            <v>64.565052631578951</v>
          </cell>
          <cell r="AD290">
            <v>64.488911647693698</v>
          </cell>
          <cell r="AE290">
            <v>64.764212286351267</v>
          </cell>
          <cell r="AF290">
            <v>64.599520018811944</v>
          </cell>
          <cell r="AG290">
            <v>63.977825678051744</v>
          </cell>
          <cell r="AH290">
            <v>64.772051186382555</v>
          </cell>
          <cell r="AI290">
            <v>64.771975572577631</v>
          </cell>
          <cell r="AJ290">
            <v>64.771975572577631</v>
          </cell>
          <cell r="AK290">
            <v>64.771975572577631</v>
          </cell>
          <cell r="AL290">
            <v>64.771975572577631</v>
          </cell>
          <cell r="AM290">
            <v>64.771975572577631</v>
          </cell>
          <cell r="AN290">
            <v>64.771975572577631</v>
          </cell>
          <cell r="AO290">
            <v>64.771975572577631</v>
          </cell>
        </row>
        <row r="291">
          <cell r="AC291">
            <v>3</v>
          </cell>
          <cell r="AD291">
            <v>3.6</v>
          </cell>
          <cell r="AE291">
            <v>-1.3</v>
          </cell>
          <cell r="AF291">
            <v>4.9000000000000004</v>
          </cell>
          <cell r="AG291">
            <v>3.24</v>
          </cell>
          <cell r="AH291">
            <v>3.5</v>
          </cell>
          <cell r="AI291">
            <v>3.8</v>
          </cell>
          <cell r="AJ291">
            <v>4.7566522596774092</v>
          </cell>
          <cell r="AK291">
            <v>4.9226593681999304</v>
          </cell>
          <cell r="AL291">
            <v>4.8682511841386997</v>
          </cell>
          <cell r="AM291">
            <v>4.5186371219336792</v>
          </cell>
          <cell r="AN291">
            <v>4.5772553803407448</v>
          </cell>
          <cell r="AO291">
            <v>3.9111247238281948</v>
          </cell>
        </row>
        <row r="294">
          <cell r="AC294">
            <v>2.1039505070639564</v>
          </cell>
          <cell r="AD294">
            <v>3.0565386710474058</v>
          </cell>
          <cell r="AE294">
            <v>3.5524140510322155</v>
          </cell>
          <cell r="AF294">
            <v>6.4253878714290096</v>
          </cell>
          <cell r="AG294">
            <v>13.57762687366646</v>
          </cell>
          <cell r="AH294">
            <v>13.32849990126266</v>
          </cell>
          <cell r="AI294">
            <v>1.3343640302378788</v>
          </cell>
          <cell r="AJ294">
            <v>1.7422720542668912</v>
          </cell>
          <cell r="AK294">
            <v>2.7179719422707933</v>
          </cell>
          <cell r="AL294">
            <v>5.0653075085369039</v>
          </cell>
          <cell r="AM294">
            <v>6.7020945420822642</v>
          </cell>
          <cell r="AN294">
            <v>7.0662044612957544</v>
          </cell>
          <cell r="AO294">
            <v>7.2035648256658931</v>
          </cell>
        </row>
        <row r="298">
          <cell r="AC298">
            <v>2828.5</v>
          </cell>
          <cell r="AD298">
            <v>3046.5</v>
          </cell>
          <cell r="AE298">
            <v>1274.7</v>
          </cell>
          <cell r="AF298">
            <v>1770.7</v>
          </cell>
          <cell r="AG298">
            <v>3031.2</v>
          </cell>
          <cell r="AH298">
            <v>3984.9</v>
          </cell>
          <cell r="AI298">
            <v>4599.8</v>
          </cell>
          <cell r="AJ298">
            <v>5021.5478279824656</v>
          </cell>
          <cell r="AK298">
            <v>4379.0190251271024</v>
          </cell>
          <cell r="AL298">
            <v>3812.3491950117341</v>
          </cell>
          <cell r="AM298">
            <v>4149.148250377234</v>
          </cell>
          <cell r="AN298">
            <v>4731.9498483681009</v>
          </cell>
          <cell r="AO298">
            <v>5399.6549495458466</v>
          </cell>
        </row>
        <row r="299">
          <cell r="AC299">
            <v>993.5</v>
          </cell>
          <cell r="AD299">
            <v>1066.3</v>
          </cell>
          <cell r="AE299">
            <v>445.5</v>
          </cell>
          <cell r="AF299">
            <v>594.42000000000007</v>
          </cell>
          <cell r="AG299">
            <v>995</v>
          </cell>
          <cell r="AH299">
            <v>1309.4000000000001</v>
          </cell>
          <cell r="AI299">
            <v>1511.5</v>
          </cell>
          <cell r="AJ299">
            <v>1650.0868607320963</v>
          </cell>
          <cell r="AK299">
            <v>1438.9510971084865</v>
          </cell>
          <cell r="AL299">
            <v>1252.7426862603234</v>
          </cell>
          <cell r="AM299">
            <v>1363.4152746739401</v>
          </cell>
          <cell r="AN299">
            <v>1554.9246045063664</v>
          </cell>
          <cell r="AO299">
            <v>1774.3333310662524</v>
          </cell>
        </row>
        <row r="300">
          <cell r="AC300">
            <v>1834.2</v>
          </cell>
          <cell r="AD300">
            <v>1980.2</v>
          </cell>
          <cell r="AE300">
            <v>829.2</v>
          </cell>
          <cell r="AF300">
            <v>1176.28</v>
          </cell>
          <cell r="AG300">
            <v>2036.1999999999998</v>
          </cell>
          <cell r="AH300">
            <v>2675.5</v>
          </cell>
          <cell r="AI300">
            <v>3088.3</v>
          </cell>
          <cell r="AJ300">
            <v>3371.4609672503693</v>
          </cell>
          <cell r="AK300">
            <v>2940.0679280186159</v>
          </cell>
          <cell r="AL300">
            <v>2559.6065087514107</v>
          </cell>
          <cell r="AM300">
            <v>2785.732975703294</v>
          </cell>
          <cell r="AN300">
            <v>3177.0252438617345</v>
          </cell>
          <cell r="AO300">
            <v>3625.3216184795942</v>
          </cell>
        </row>
        <row r="301">
          <cell r="AC301">
            <v>64.847092098285302</v>
          </cell>
          <cell r="AD301">
            <v>64.999179386180856</v>
          </cell>
          <cell r="AE301">
            <v>65.050600141209699</v>
          </cell>
          <cell r="AF301">
            <v>66.430225334613425</v>
          </cell>
          <cell r="AG301">
            <v>67.174716283979947</v>
          </cell>
          <cell r="AH301">
            <v>67.140957113101962</v>
          </cell>
          <cell r="AI301">
            <v>67.139875646767251</v>
          </cell>
          <cell r="AJ301">
            <v>67.139875646767251</v>
          </cell>
          <cell r="AK301">
            <v>67.139875646767251</v>
          </cell>
          <cell r="AL301">
            <v>67.139875646767251</v>
          </cell>
          <cell r="AM301">
            <v>67.139875646767251</v>
          </cell>
          <cell r="AN301">
            <v>67.139875646767251</v>
          </cell>
          <cell r="AO301">
            <v>67.139875646767251</v>
          </cell>
        </row>
        <row r="302">
          <cell r="AC302">
            <v>7.6</v>
          </cell>
          <cell r="AD302">
            <v>6.4</v>
          </cell>
          <cell r="AE302">
            <v>-58.93</v>
          </cell>
          <cell r="AF302">
            <v>34.020000000000003</v>
          </cell>
          <cell r="AG302">
            <v>50.3</v>
          </cell>
          <cell r="AH302">
            <v>21.5</v>
          </cell>
          <cell r="AI302">
            <v>12.9</v>
          </cell>
          <cell r="AJ302">
            <v>10.216421254047475</v>
          </cell>
          <cell r="AK302">
            <v>10.936184694367995</v>
          </cell>
          <cell r="AL302">
            <v>9.532181900753244</v>
          </cell>
          <cell r="AM302">
            <v>7.9471356149526002</v>
          </cell>
          <cell r="AN302">
            <v>7.2015999587720927</v>
          </cell>
          <cell r="AO302">
            <v>6.579734823326632</v>
          </cell>
        </row>
        <row r="305">
          <cell r="AC305">
            <v>2.3934911189751773</v>
          </cell>
          <cell r="AD305">
            <v>1.4660465360325787</v>
          </cell>
          <cell r="AE305">
            <v>1.9589922703722351</v>
          </cell>
          <cell r="AF305">
            <v>5.847792695404479</v>
          </cell>
          <cell r="AG305">
            <v>15.173015979353792</v>
          </cell>
          <cell r="AH305">
            <v>8.1454480487537637</v>
          </cell>
          <cell r="AI305">
            <v>2.2399395889512732</v>
          </cell>
          <cell r="AJ305">
            <v>-0.95048592057500514</v>
          </cell>
          <cell r="AK305">
            <v>-21.392134638236655</v>
          </cell>
          <cell r="AL305">
            <v>-20.517027163096003</v>
          </cell>
          <cell r="AM305">
            <v>0.82196476316542544</v>
          </cell>
          <cell r="AN305">
            <v>6.384881305374023</v>
          </cell>
          <cell r="AO305">
            <v>7.0659167096999624</v>
          </cell>
        </row>
        <row r="309">
          <cell r="AC309">
            <v>7587.1</v>
          </cell>
          <cell r="AD309">
            <v>7624</v>
          </cell>
          <cell r="AE309">
            <v>8068.5</v>
          </cell>
          <cell r="AF309">
            <v>9949.6</v>
          </cell>
          <cell r="AG309">
            <v>12845.4</v>
          </cell>
          <cell r="AH309">
            <v>12532.1</v>
          </cell>
          <cell r="AI309">
            <v>14148.2</v>
          </cell>
          <cell r="AJ309">
            <v>15017.29623892613</v>
          </cell>
          <cell r="AK309">
            <v>15802.029636216155</v>
          </cell>
          <cell r="AL309">
            <v>17577.730907140405</v>
          </cell>
          <cell r="AM309">
            <v>19689.913695208415</v>
          </cell>
          <cell r="AN309">
            <v>22112.328015010233</v>
          </cell>
          <cell r="AO309">
            <v>24327.57953295271</v>
          </cell>
        </row>
        <row r="310">
          <cell r="AC310">
            <v>2659.2000000000007</v>
          </cell>
          <cell r="AD310">
            <v>2756.8999999999996</v>
          </cell>
          <cell r="AE310">
            <v>2894</v>
          </cell>
          <cell r="AF310">
            <v>3559.6100000000006</v>
          </cell>
          <cell r="AG310">
            <v>4723.5599999999995</v>
          </cell>
          <cell r="AH310">
            <v>4705.1000000000004</v>
          </cell>
          <cell r="AI310">
            <v>5325.3000000000011</v>
          </cell>
          <cell r="AJ310">
            <v>5652.4227577468046</v>
          </cell>
          <cell r="AK310">
            <v>5947.791833713256</v>
          </cell>
          <cell r="AL310">
            <v>6616.1554402535166</v>
          </cell>
          <cell r="AM310">
            <v>7411.1687282547173</v>
          </cell>
          <cell r="AN310">
            <v>8322.9513562385328</v>
          </cell>
          <cell r="AO310">
            <v>9156.7591133029709</v>
          </cell>
        </row>
        <row r="311">
          <cell r="AC311">
            <v>4927.8999999999996</v>
          </cell>
          <cell r="AD311">
            <v>4867.1000000000004</v>
          </cell>
          <cell r="AE311">
            <v>5174.5</v>
          </cell>
          <cell r="AF311">
            <v>6389.99</v>
          </cell>
          <cell r="AG311">
            <v>8121.84</v>
          </cell>
          <cell r="AH311">
            <v>7827</v>
          </cell>
          <cell r="AI311">
            <v>8822.9</v>
          </cell>
          <cell r="AJ311">
            <v>9364.8734811793256</v>
          </cell>
          <cell r="AK311">
            <v>9854.2378025028993</v>
          </cell>
          <cell r="AL311">
            <v>10961.575466886889</v>
          </cell>
          <cell r="AM311">
            <v>12278.744966953698</v>
          </cell>
          <cell r="AN311">
            <v>13789.3766587717</v>
          </cell>
          <cell r="AO311">
            <v>15170.820419649739</v>
          </cell>
        </row>
        <row r="312">
          <cell r="AC312">
            <v>64.951035309933957</v>
          </cell>
          <cell r="AD312">
            <v>63.839192025183635</v>
          </cell>
          <cell r="AE312">
            <v>64.13211873334572</v>
          </cell>
          <cell r="AF312">
            <v>64.223586877864435</v>
          </cell>
          <cell r="AG312">
            <v>63.227614554626562</v>
          </cell>
          <cell r="AH312">
            <v>62.455613983290903</v>
          </cell>
          <cell r="AI312">
            <v>62.360582971685439</v>
          </cell>
          <cell r="AJ312">
            <v>62.360582971685439</v>
          </cell>
          <cell r="AK312">
            <v>62.360582971685439</v>
          </cell>
          <cell r="AL312">
            <v>62.360582971685439</v>
          </cell>
          <cell r="AM312">
            <v>62.360582971685439</v>
          </cell>
          <cell r="AN312">
            <v>62.360582971685439</v>
          </cell>
          <cell r="AO312">
            <v>62.360582971685439</v>
          </cell>
        </row>
        <row r="313">
          <cell r="AC313">
            <v>7.7</v>
          </cell>
          <cell r="AD313">
            <v>1.25</v>
          </cell>
          <cell r="AE313">
            <v>4.8899999999999997</v>
          </cell>
          <cell r="AF313">
            <v>16.399999999999999</v>
          </cell>
          <cell r="AG313">
            <v>24.78</v>
          </cell>
          <cell r="AH313">
            <v>-7</v>
          </cell>
          <cell r="AI313">
            <v>14.1</v>
          </cell>
          <cell r="AJ313">
            <v>7.8006886581732999</v>
          </cell>
          <cell r="AK313">
            <v>2.57522746363369</v>
          </cell>
          <cell r="AL313">
            <v>2.7905005487553995</v>
          </cell>
          <cell r="AM313">
            <v>2.689877540354725</v>
          </cell>
          <cell r="AN313">
            <v>2.6718545919760452</v>
          </cell>
          <cell r="AO313">
            <v>0.55273521848247209</v>
          </cell>
        </row>
        <row r="314">
          <cell r="AC314">
            <v>-3.0309770760026993</v>
          </cell>
          <cell r="AD314">
            <v>-2.4531271803605392</v>
          </cell>
          <cell r="AE314">
            <v>1.3594012619365827</v>
          </cell>
          <cell r="AF314">
            <v>6.0910644619613947</v>
          </cell>
          <cell r="AG314">
            <v>1.8613129719214498</v>
          </cell>
          <cell r="AH314">
            <v>3.6234280933638843</v>
          </cell>
          <cell r="AI314">
            <v>-1.2060434413920547</v>
          </cell>
          <cell r="AJ314">
            <v>-1.5379162898399699</v>
          </cell>
          <cell r="AK314">
            <v>2.5837652185115587</v>
          </cell>
          <cell r="AL314">
            <v>8.2173659437255111</v>
          </cell>
          <cell r="AM314">
            <v>9.082068530593375</v>
          </cell>
          <cell r="AN314">
            <v>9.3803348733726608</v>
          </cell>
          <cell r="AO314">
            <v>9.4134076613706839</v>
          </cell>
        </row>
        <row r="318">
          <cell r="AC318">
            <v>1896.9</v>
          </cell>
          <cell r="AD318">
            <v>2223.6</v>
          </cell>
          <cell r="AE318">
            <v>2316.8000000000002</v>
          </cell>
          <cell r="AF318">
            <v>2475.6</v>
          </cell>
          <cell r="AG318">
            <v>2896.2</v>
          </cell>
          <cell r="AH318">
            <v>3365.9</v>
          </cell>
          <cell r="AI318">
            <v>3761.1</v>
          </cell>
          <cell r="AJ318">
            <v>4155.7561313561982</v>
          </cell>
          <cell r="AK318">
            <v>4574.5361738593156</v>
          </cell>
          <cell r="AL318">
            <v>5035.204042018664</v>
          </cell>
          <cell r="AM318">
            <v>5542.9893679022189</v>
          </cell>
          <cell r="AN318">
            <v>6102.9080445146483</v>
          </cell>
          <cell r="AO318">
            <v>6720.3463401406179</v>
          </cell>
        </row>
        <row r="319">
          <cell r="AC319">
            <v>641.60000000000014</v>
          </cell>
          <cell r="AD319">
            <v>751.39999999999986</v>
          </cell>
          <cell r="AE319">
            <v>778.10000000000014</v>
          </cell>
          <cell r="AF319">
            <v>831.53</v>
          </cell>
          <cell r="AG319">
            <v>1046.3799999999999</v>
          </cell>
          <cell r="AH319">
            <v>1218.5</v>
          </cell>
          <cell r="AI319">
            <v>1361.6</v>
          </cell>
          <cell r="AJ319">
            <v>1504.4741029099464</v>
          </cell>
          <cell r="AK319">
            <v>1656.08158632497</v>
          </cell>
          <cell r="AL319">
            <v>1822.853373644044</v>
          </cell>
          <cell r="AM319">
            <v>2006.6827054148152</v>
          </cell>
          <cell r="AN319">
            <v>2209.3854439954125</v>
          </cell>
          <cell r="AO319">
            <v>2432.9115356505981</v>
          </cell>
        </row>
        <row r="320">
          <cell r="AC320">
            <v>1255.3</v>
          </cell>
          <cell r="AD320">
            <v>1472.2</v>
          </cell>
          <cell r="AE320">
            <v>1538.7</v>
          </cell>
          <cell r="AF320">
            <v>1644.07</v>
          </cell>
          <cell r="AG320">
            <v>1849.82</v>
          </cell>
          <cell r="AH320">
            <v>2147.4</v>
          </cell>
          <cell r="AI320">
            <v>2399.5</v>
          </cell>
          <cell r="AJ320">
            <v>2651.2820284462518</v>
          </cell>
          <cell r="AK320">
            <v>2918.4545875343456</v>
          </cell>
          <cell r="AL320">
            <v>3212.35066837462</v>
          </cell>
          <cell r="AM320">
            <v>3536.3066624874036</v>
          </cell>
          <cell r="AN320">
            <v>3893.5226005192358</v>
          </cell>
          <cell r="AO320">
            <v>4287.4348044900198</v>
          </cell>
        </row>
        <row r="321">
          <cell r="AC321">
            <v>66.176393062364909</v>
          </cell>
          <cell r="AD321">
            <v>66.207951070336406</v>
          </cell>
          <cell r="AE321">
            <v>66.414882596685075</v>
          </cell>
          <cell r="AF321">
            <v>66.410971077718528</v>
          </cell>
          <cell r="AG321">
            <v>63.870589047717694</v>
          </cell>
          <cell r="AH321">
            <v>63.798686829674089</v>
          </cell>
          <cell r="AI321">
            <v>63.797825104357763</v>
          </cell>
          <cell r="AJ321">
            <v>63.797825104357763</v>
          </cell>
          <cell r="AK321">
            <v>63.797825104357763</v>
          </cell>
          <cell r="AL321">
            <v>63.797825104357763</v>
          </cell>
          <cell r="AM321">
            <v>63.797825104357763</v>
          </cell>
          <cell r="AN321">
            <v>63.797825104357763</v>
          </cell>
          <cell r="AO321">
            <v>63.797825104357763</v>
          </cell>
        </row>
        <row r="322">
          <cell r="AC322">
            <v>9.8000000000000007</v>
          </cell>
          <cell r="AD322">
            <v>17.2</v>
          </cell>
          <cell r="AE322">
            <v>0.76</v>
          </cell>
          <cell r="AF322">
            <v>6.4</v>
          </cell>
          <cell r="AG322">
            <v>15.4</v>
          </cell>
          <cell r="AH322">
            <v>16.899999999999999</v>
          </cell>
          <cell r="AI322">
            <v>11.4</v>
          </cell>
          <cell r="AJ322">
            <v>10.225726740150492</v>
          </cell>
          <cell r="AK322">
            <v>10.075566750629733</v>
          </cell>
          <cell r="AL322">
            <v>10.068649885583511</v>
          </cell>
          <cell r="AM322">
            <v>10.083160083160081</v>
          </cell>
          <cell r="AN322">
            <v>10.103871576959406</v>
          </cell>
          <cell r="AO322">
            <v>10.120068610634661</v>
          </cell>
        </row>
        <row r="323">
          <cell r="AC323">
            <v>-6.4643917102941373E-2</v>
          </cell>
          <cell r="AD323">
            <v>6.7182722050333155E-2</v>
          </cell>
          <cell r="AE323">
            <v>3.7287111095195513</v>
          </cell>
          <cell r="AF323">
            <v>0.42104188136551102</v>
          </cell>
          <cell r="AG323">
            <v>-2.5002825395094845</v>
          </cell>
          <cell r="AH323">
            <v>-0.6954913394620803</v>
          </cell>
          <cell r="AI323">
            <v>0.30500748347672868</v>
          </cell>
          <cell r="AJ323">
            <v>0.24257238577583506</v>
          </cell>
          <cell r="AK323">
            <v>1.4003691209296676E-3</v>
          </cell>
          <cell r="AL323">
            <v>1.4664352475222131E-3</v>
          </cell>
          <cell r="AM323">
            <v>1.400740565671299E-3</v>
          </cell>
          <cell r="AN323">
            <v>-2.2587187986573554E-3</v>
          </cell>
          <cell r="AO323">
            <v>-2.6811250898362005E-3</v>
          </cell>
        </row>
        <row r="325">
          <cell r="AC325">
            <v>18551.3</v>
          </cell>
          <cell r="AD325">
            <v>20296.8</v>
          </cell>
          <cell r="AE325">
            <v>22073.8</v>
          </cell>
          <cell r="AF325">
            <v>24771.599999999999</v>
          </cell>
          <cell r="AG325">
            <v>30275.8</v>
          </cell>
          <cell r="AH325">
            <v>34977.599999999999</v>
          </cell>
          <cell r="AI325">
            <v>38219.199999999997</v>
          </cell>
          <cell r="AJ325">
            <v>40780.061747969376</v>
          </cell>
          <cell r="AK325">
            <v>44117.960150125989</v>
          </cell>
          <cell r="AL325">
            <v>47773.922250405194</v>
          </cell>
          <cell r="AM325">
            <v>52501.510161898033</v>
          </cell>
          <cell r="AN325">
            <v>57543.03024179153</v>
          </cell>
          <cell r="AO325">
            <v>62396.964134400012</v>
          </cell>
        </row>
        <row r="326">
          <cell r="AC326">
            <v>6365.4</v>
          </cell>
          <cell r="AD326">
            <v>6917.4</v>
          </cell>
          <cell r="AE326">
            <v>7595.1</v>
          </cell>
          <cell r="AF326">
            <v>8535.4499999999989</v>
          </cell>
          <cell r="AG326">
            <v>10636.759999999998</v>
          </cell>
          <cell r="AH326">
            <v>11943.5</v>
          </cell>
          <cell r="AI326">
            <v>13050.399999999998</v>
          </cell>
          <cell r="AJ326">
            <v>13924.836674647806</v>
          </cell>
          <cell r="AK326">
            <v>15064.601748419751</v>
          </cell>
          <cell r="AL326">
            <v>16312.973451476948</v>
          </cell>
          <cell r="AM326">
            <v>17927.264521937504</v>
          </cell>
          <cell r="AN326">
            <v>19648.751461764667</v>
          </cell>
          <cell r="AO326">
            <v>21306.184868850571</v>
          </cell>
        </row>
        <row r="327">
          <cell r="AC327">
            <v>12185.9</v>
          </cell>
          <cell r="AD327">
            <v>13379.4</v>
          </cell>
          <cell r="AE327">
            <v>14478.699999999999</v>
          </cell>
          <cell r="AF327">
            <v>16236.15</v>
          </cell>
          <cell r="AG327">
            <v>19639.04</v>
          </cell>
          <cell r="AH327">
            <v>23034.1</v>
          </cell>
          <cell r="AI327">
            <v>25168.799999999999</v>
          </cell>
          <cell r="AJ327">
            <v>26855.22507332157</v>
          </cell>
          <cell r="AK327">
            <v>29053.358401706239</v>
          </cell>
          <cell r="AL327">
            <v>31460.948798928246</v>
          </cell>
          <cell r="AM327">
            <v>34574.245639960529</v>
          </cell>
          <cell r="AN327">
            <v>37894.278780026863</v>
          </cell>
          <cell r="AO327">
            <v>41090.779265549441</v>
          </cell>
        </row>
        <row r="328">
          <cell r="AC328">
            <v>65.687579846156325</v>
          </cell>
          <cell r="AD328">
            <v>65.918765519687838</v>
          </cell>
          <cell r="AE328">
            <v>65.592240574799078</v>
          </cell>
          <cell r="AF328">
            <v>65.543404543913198</v>
          </cell>
          <cell r="AG328">
            <v>64.86712159546569</v>
          </cell>
          <cell r="AH328">
            <v>65.853860756598507</v>
          </cell>
          <cell r="AI328">
            <v>65.853811696738816</v>
          </cell>
          <cell r="AJ328">
            <v>65.853811696738816</v>
          </cell>
          <cell r="AK328">
            <v>65.853811696738816</v>
          </cell>
          <cell r="AL328">
            <v>65.853811696738816</v>
          </cell>
          <cell r="AM328">
            <v>65.853811696738816</v>
          </cell>
          <cell r="AN328">
            <v>65.853811696738816</v>
          </cell>
          <cell r="AO328">
            <v>65.853811696738816</v>
          </cell>
        </row>
        <row r="329">
          <cell r="AC329">
            <v>1.6</v>
          </cell>
          <cell r="AD329">
            <v>3.2</v>
          </cell>
          <cell r="AE329">
            <v>-2.2799999999999998</v>
          </cell>
          <cell r="AF329">
            <v>5</v>
          </cell>
          <cell r="AG329">
            <v>4.0999999999999996</v>
          </cell>
          <cell r="AH329">
            <v>3.47</v>
          </cell>
          <cell r="AI329">
            <v>4.0490000000000004</v>
          </cell>
          <cell r="AJ329">
            <v>1.5294747147463141</v>
          </cell>
          <cell r="AK329">
            <v>1.9701453481796136</v>
          </cell>
          <cell r="AL329">
            <v>1.8500412091484719</v>
          </cell>
          <cell r="AM329">
            <v>1.8980830135128173</v>
          </cell>
          <cell r="AN329">
            <v>2.0846119652401711</v>
          </cell>
          <cell r="AO329">
            <v>1.8530449951571768</v>
          </cell>
        </row>
        <row r="330">
          <cell r="AC330">
            <v>3.2861084960225782</v>
          </cell>
          <cell r="AD330">
            <v>6.3896378906845683</v>
          </cell>
          <cell r="AE330">
            <v>10.741263270235564</v>
          </cell>
          <cell r="AF330">
            <v>6.7982622749280068</v>
          </cell>
          <cell r="AG330">
            <v>16.194740461909049</v>
          </cell>
          <cell r="AH330">
            <v>13.353920181965023</v>
          </cell>
          <cell r="AI330">
            <v>5.0154871037591704</v>
          </cell>
          <cell r="AJ330">
            <v>5.0930866088699531</v>
          </cell>
          <cell r="AK330">
            <v>6.0948997308016857</v>
          </cell>
          <cell r="AL330">
            <v>6.3198279868935714</v>
          </cell>
          <cell r="AM330">
            <v>7.848692292141024</v>
          </cell>
          <cell r="AN330">
            <v>7.3644862443741204</v>
          </cell>
          <cell r="AO330">
            <v>6.4625133040066061</v>
          </cell>
        </row>
        <row r="332">
          <cell r="AC332">
            <v>6198.3</v>
          </cell>
          <cell r="AD332">
            <v>7362.5</v>
          </cell>
          <cell r="AE332">
            <v>6848.4</v>
          </cell>
          <cell r="AF332">
            <v>7579.5999999999995</v>
          </cell>
          <cell r="AG332">
            <v>9973.09</v>
          </cell>
          <cell r="AH332">
            <v>11369.7</v>
          </cell>
          <cell r="AI332">
            <v>12363.1</v>
          </cell>
          <cell r="AJ332">
            <v>12820.670833302429</v>
          </cell>
          <cell r="AK332">
            <v>13276.229203438503</v>
          </cell>
          <cell r="AL332">
            <v>14072.569090363726</v>
          </cell>
          <cell r="AM332">
            <v>15045.939497069719</v>
          </cell>
          <cell r="AN332">
            <v>16194.279467540488</v>
          </cell>
          <cell r="AO332">
            <v>17005.82116465388</v>
          </cell>
        </row>
        <row r="333">
          <cell r="AC333">
            <v>1.6473401406762052</v>
          </cell>
          <cell r="AD333">
            <v>3.1396570027265538</v>
          </cell>
          <cell r="AE333">
            <v>-3.1640228183361634</v>
          </cell>
          <cell r="AF333">
            <v>8.6218556159102864</v>
          </cell>
          <cell r="AG333">
            <v>7.8128765634070412</v>
          </cell>
          <cell r="AH333">
            <v>6.922238744461346</v>
          </cell>
          <cell r="AI333">
            <v>5.2962618186935444</v>
          </cell>
          <cell r="AJ333">
            <v>3.8880275770794057</v>
          </cell>
          <cell r="AK333">
            <v>3.4714997593335446</v>
          </cell>
          <cell r="AL333">
            <v>3.3771903172719089</v>
          </cell>
          <cell r="AM333">
            <v>3.1816078391028459</v>
          </cell>
          <cell r="AN333">
            <v>3.6712404012126507</v>
          </cell>
          <cell r="AO333">
            <v>1.24316387346681</v>
          </cell>
        </row>
        <row r="334">
          <cell r="AC334">
            <v>21.849726380888839</v>
          </cell>
          <cell r="AD334">
            <v>15.166729138001813</v>
          </cell>
          <cell r="AE334">
            <v>-3.9434307429288395</v>
          </cell>
          <cell r="AF334">
            <v>1.8919680689316749</v>
          </cell>
          <cell r="AG334">
            <v>22.042983923945727</v>
          </cell>
          <cell r="AH334">
            <v>6.6230800270655266</v>
          </cell>
          <cell r="AI334">
            <v>3.2679184627368159</v>
          </cell>
          <cell r="AJ334">
            <v>-0.17993069604663958</v>
          </cell>
          <cell r="AK334">
            <v>7.9066925059123605E-2</v>
          </cell>
          <cell r="AL334">
            <v>2.5354221185167773</v>
          </cell>
          <cell r="AM334">
            <v>3.620010157446842</v>
          </cell>
          <cell r="AN334">
            <v>3.8207169906485632</v>
          </cell>
          <cell r="AO334">
            <v>3.721853617607735</v>
          </cell>
        </row>
        <row r="363">
          <cell r="AC363">
            <v>46702.58</v>
          </cell>
          <cell r="AD363">
            <v>50650.200000000004</v>
          </cell>
          <cell r="AE363">
            <v>51131.45</v>
          </cell>
          <cell r="AF363">
            <v>57432.429999999993</v>
          </cell>
          <cell r="AG363">
            <v>69764.125</v>
          </cell>
          <cell r="AH363">
            <v>78990.332999999999</v>
          </cell>
          <cell r="AI363">
            <v>85712.409899999999</v>
          </cell>
          <cell r="AJ363">
            <v>91785.435845364758</v>
          </cell>
          <cell r="AK363">
            <v>97710.705083901645</v>
          </cell>
          <cell r="AL363">
            <v>105605.97391496637</v>
          </cell>
          <cell r="AM363">
            <v>115938.66040886604</v>
          </cell>
          <cell r="AN363">
            <v>126986.83219743769</v>
          </cell>
          <cell r="AO363">
            <v>135976.78777658584</v>
          </cell>
        </row>
        <row r="364">
          <cell r="AC364">
            <v>1.9983642368398464</v>
          </cell>
          <cell r="AD364">
            <v>3.9551682230831799</v>
          </cell>
          <cell r="AE364">
            <v>-2.9486197468124518</v>
          </cell>
          <cell r="AF364">
            <v>7.1321751524746553</v>
          </cell>
          <cell r="AG364">
            <v>9.0965141675182473</v>
          </cell>
          <cell r="AH364">
            <v>4.5336023512801189</v>
          </cell>
          <cell r="AI364">
            <v>6.1970717720610171</v>
          </cell>
          <cell r="AJ364">
            <v>4.6704519585228184</v>
          </cell>
          <cell r="AK364">
            <v>4.4187503027535993</v>
          </cell>
          <cell r="AL364">
            <v>3.9167845435798565</v>
          </cell>
          <cell r="AM364">
            <v>3.9760360529560299</v>
          </cell>
          <cell r="AN364">
            <v>3.5619798851742197</v>
          </cell>
          <cell r="AO364">
            <v>1.4961980811331075</v>
          </cell>
        </row>
        <row r="365">
          <cell r="AC365">
            <v>3.3304389073974221</v>
          </cell>
          <cell r="AD365">
            <v>4.3263962980018391</v>
          </cell>
          <cell r="AE365">
            <v>4.0172165092986774</v>
          </cell>
          <cell r="AF365">
            <v>4.845346785521798</v>
          </cell>
          <cell r="AG365">
            <v>11.343299107923954</v>
          </cell>
          <cell r="AH365">
            <v>8.314319655870321</v>
          </cell>
          <cell r="AI365">
            <v>2.1779580495641113</v>
          </cell>
          <cell r="AJ365">
            <v>2.3071458964166567</v>
          </cell>
          <cell r="AK365">
            <v>1.9506223997050256</v>
          </cell>
          <cell r="AL365">
            <v>4.0065375853109515</v>
          </cell>
          <cell r="AM365">
            <v>5.5860481536505517</v>
          </cell>
          <cell r="AN365">
            <v>5.7621002937974453</v>
          </cell>
          <cell r="AO365">
            <v>5.5009362180855561</v>
          </cell>
        </row>
        <row r="366">
          <cell r="AC366">
            <v>33389.4</v>
          </cell>
          <cell r="AD366">
            <v>31246</v>
          </cell>
          <cell r="AE366">
            <v>21446.639999999999</v>
          </cell>
          <cell r="AF366">
            <v>35770.800000000003</v>
          </cell>
          <cell r="AG366">
            <v>64208.55</v>
          </cell>
          <cell r="AH366">
            <v>44138.1</v>
          </cell>
          <cell r="AI366">
            <v>40624.6</v>
          </cell>
          <cell r="AJ366">
            <v>36348.777326765645</v>
          </cell>
          <cell r="AK366">
            <v>32345.358589366879</v>
          </cell>
          <cell r="AL366">
            <v>31816.918311298276</v>
          </cell>
          <cell r="AM366">
            <v>30754.387583235944</v>
          </cell>
          <cell r="AN366">
            <v>32385.509883999781</v>
          </cell>
          <cell r="AO366">
            <v>32416.157512714864</v>
          </cell>
        </row>
        <row r="367">
          <cell r="AC367">
            <v>0.55870986705602088</v>
          </cell>
          <cell r="AD367">
            <v>0.43042648265617234</v>
          </cell>
          <cell r="AE367">
            <v>-6.3352037700825701</v>
          </cell>
          <cell r="AF367">
            <v>2.0214849645445625</v>
          </cell>
          <cell r="AG367">
            <v>-2.4391455572701761</v>
          </cell>
          <cell r="AH367">
            <v>-1.9643522864166842</v>
          </cell>
          <cell r="AI367">
            <v>0.25228337875894058</v>
          </cell>
          <cell r="AJ367">
            <v>-0.19901236074376355</v>
          </cell>
          <cell r="AK367">
            <v>-2.41385501340006</v>
          </cell>
          <cell r="AL367">
            <v>-1.2634050552060903</v>
          </cell>
          <cell r="AM367">
            <v>-3.2096868300091179</v>
          </cell>
          <cell r="AN367">
            <v>4.6551204323813939</v>
          </cell>
          <cell r="AO367">
            <v>-1.0913632743561283</v>
          </cell>
        </row>
        <row r="368">
          <cell r="AC368">
            <v>27.579676512979063</v>
          </cell>
          <cell r="AD368">
            <v>-6.8204719301126886</v>
          </cell>
          <cell r="AE368">
            <v>-26.719497152564259</v>
          </cell>
          <cell r="AF368">
            <v>63.484939402627475</v>
          </cell>
          <cell r="AG368">
            <v>83.987625348877941</v>
          </cell>
          <cell r="AH368">
            <v>-29.880832820031216</v>
          </cell>
          <cell r="AI368">
            <v>-8.1918596431628714</v>
          </cell>
          <cell r="AJ368">
            <v>-10.346784617262259</v>
          </cell>
          <cell r="AK368">
            <v>-8.8127746566814551</v>
          </cell>
          <cell r="AL368">
            <v>-0.37507745374367119</v>
          </cell>
          <cell r="AM368">
            <v>-0.13413333090259982</v>
          </cell>
          <cell r="AN368">
            <v>0.6197361094216518</v>
          </cell>
          <cell r="AO368">
            <v>1.1990833995223227</v>
          </cell>
        </row>
      </sheetData>
      <sheetData sheetId="5"/>
      <sheetData sheetId="6"/>
      <sheetData sheetId="7">
        <row r="5">
          <cell r="AC5">
            <v>17244.8629</v>
          </cell>
          <cell r="AD5">
            <v>18539.476500000001</v>
          </cell>
          <cell r="AE5">
            <v>17226.14</v>
          </cell>
          <cell r="AF5">
            <v>16815.489999999998</v>
          </cell>
          <cell r="AG5">
            <v>17878.150000000001</v>
          </cell>
          <cell r="AH5">
            <v>21310.7</v>
          </cell>
          <cell r="AI5">
            <v>22106.3</v>
          </cell>
          <cell r="AJ5">
            <v>22318.576907053641</v>
          </cell>
          <cell r="AK5">
            <v>24437.001625405625</v>
          </cell>
          <cell r="AL5">
            <v>26254.575505786768</v>
          </cell>
          <cell r="AM5">
            <v>27429.127873592603</v>
          </cell>
          <cell r="AN5">
            <v>28127.070487504978</v>
          </cell>
          <cell r="AO5">
            <v>26850.744609515568</v>
          </cell>
        </row>
        <row r="6">
          <cell r="AC6">
            <v>-4.2999999999999972</v>
          </cell>
          <cell r="AD6">
            <v>5.5</v>
          </cell>
          <cell r="AE6">
            <v>-7.2803546454507426</v>
          </cell>
          <cell r="AF6">
            <v>-4.514637521812773</v>
          </cell>
          <cell r="AG6">
            <v>3.3436921552687551</v>
          </cell>
          <cell r="AH6">
            <v>15.183714757958739</v>
          </cell>
          <cell r="AI6">
            <v>2.4035325916089079</v>
          </cell>
          <cell r="AJ6">
            <v>-0.59053244065565025</v>
          </cell>
          <cell r="AK6">
            <v>7.1977240584331099</v>
          </cell>
          <cell r="AL6">
            <v>5.1867967128318924</v>
          </cell>
          <cell r="AM6">
            <v>2.576048523853089</v>
          </cell>
          <cell r="AN6">
            <v>0.68191539078148367</v>
          </cell>
          <cell r="AO6">
            <v>-6.2716872968243678</v>
          </cell>
        </row>
        <row r="8">
          <cell r="AC8">
            <v>11874.854599999999</v>
          </cell>
          <cell r="AD8">
            <v>12867.0679</v>
          </cell>
          <cell r="AE8">
            <v>12070.84</v>
          </cell>
          <cell r="AF8">
            <v>12561.899999999998</v>
          </cell>
          <cell r="AG8">
            <v>14255.850000000002</v>
          </cell>
          <cell r="AH8">
            <v>17409.7</v>
          </cell>
          <cell r="AI8">
            <v>18774.7</v>
          </cell>
          <cell r="AJ8">
            <v>17205.432052482836</v>
          </cell>
          <cell r="AK8">
            <v>18356.941963263343</v>
          </cell>
          <cell r="AL8">
            <v>19695.764941420366</v>
          </cell>
          <cell r="AM8">
            <v>20799.708701202631</v>
          </cell>
          <cell r="AN8">
            <v>21737.586199455964</v>
          </cell>
          <cell r="AO8">
            <v>21565.088158997463</v>
          </cell>
        </row>
        <row r="9">
          <cell r="AC9">
            <v>31</v>
          </cell>
          <cell r="AD9">
            <v>6.3</v>
          </cell>
          <cell r="AE9">
            <v>-6.39</v>
          </cell>
          <cell r="AF9">
            <v>1.8</v>
          </cell>
          <cell r="AG9">
            <v>10.3</v>
          </cell>
          <cell r="AH9">
            <v>18</v>
          </cell>
          <cell r="AI9">
            <v>6.46</v>
          </cell>
          <cell r="AJ9">
            <v>-9.7660675762858347</v>
          </cell>
          <cell r="AK9">
            <v>4.4573246432463947</v>
          </cell>
          <cell r="AL9">
            <v>5.0453092987925459</v>
          </cell>
          <cell r="AM9">
            <v>3.6867750373648533</v>
          </cell>
          <cell r="AN9">
            <v>2.6107899681708631</v>
          </cell>
          <cell r="AO9">
            <v>-2.5955300496874543</v>
          </cell>
        </row>
        <row r="10">
          <cell r="AC10">
            <v>5370.0082999999995</v>
          </cell>
          <cell r="AD10">
            <v>5672.4085999999998</v>
          </cell>
          <cell r="AE10">
            <v>5155.3</v>
          </cell>
          <cell r="AF10">
            <v>4253.59</v>
          </cell>
          <cell r="AG10">
            <v>3622.3</v>
          </cell>
          <cell r="AH10">
            <v>3901</v>
          </cell>
          <cell r="AI10">
            <v>3331.6</v>
          </cell>
          <cell r="AJ10">
            <v>5113.1448545708026</v>
          </cell>
          <cell r="AK10">
            <v>6080.059662142281</v>
          </cell>
          <cell r="AL10">
            <v>6558.8105643664021</v>
          </cell>
          <cell r="AM10">
            <v>6629.419172389973</v>
          </cell>
          <cell r="AN10">
            <v>6389.4842880490123</v>
          </cell>
          <cell r="AO10">
            <v>5285.6564505181059</v>
          </cell>
        </row>
        <row r="11">
          <cell r="AC11">
            <v>-40.1</v>
          </cell>
          <cell r="AD11">
            <v>3.7</v>
          </cell>
          <cell r="AE11">
            <v>-9.3000000000000007</v>
          </cell>
          <cell r="AF11">
            <v>-19.3</v>
          </cell>
          <cell r="AG11">
            <v>-17.2</v>
          </cell>
          <cell r="AH11">
            <v>4.0999999999999996</v>
          </cell>
          <cell r="AI11">
            <v>-15.7</v>
          </cell>
          <cell r="AJ11">
            <v>51.116731189706769</v>
          </cell>
          <cell r="AK11">
            <v>16.419007099634356</v>
          </cell>
          <cell r="AL11">
            <v>5.6139761144131626</v>
          </cell>
          <cell r="AM11">
            <v>-0.75940507854019756</v>
          </cell>
          <cell r="AN11">
            <v>-5.3699012597548688</v>
          </cell>
          <cell r="AO11">
            <v>-18.778296819577136</v>
          </cell>
        </row>
        <row r="12">
          <cell r="AC12">
            <v>5995.2085999999999</v>
          </cell>
          <cell r="AD12">
            <v>5848.8829000000005</v>
          </cell>
          <cell r="AE12">
            <v>5987.6</v>
          </cell>
          <cell r="AF12">
            <v>5813.5</v>
          </cell>
          <cell r="AG12">
            <v>5464.85</v>
          </cell>
          <cell r="AH12">
            <v>6306.9</v>
          </cell>
          <cell r="AI12">
            <v>5852</v>
          </cell>
          <cell r="AJ12">
            <v>5865.4269070536375</v>
          </cell>
          <cell r="AK12">
            <v>7443.1391254056234</v>
          </cell>
          <cell r="AL12">
            <v>8492.0436307867694</v>
          </cell>
          <cell r="AM12">
            <v>8350.7903110926054</v>
          </cell>
          <cell r="AN12">
            <v>7389.5322906299789</v>
          </cell>
          <cell r="AO12">
            <v>4663.9214676405718</v>
          </cell>
        </row>
        <row r="14">
          <cell r="AC14">
            <v>11249.6543</v>
          </cell>
          <cell r="AD14">
            <v>12690.6</v>
          </cell>
          <cell r="AE14">
            <v>11238.539999999999</v>
          </cell>
          <cell r="AF14">
            <v>11001.989999999998</v>
          </cell>
          <cell r="AG14">
            <v>12413.300000000001</v>
          </cell>
          <cell r="AH14">
            <v>15003.800000000001</v>
          </cell>
          <cell r="AI14">
            <v>16254.3</v>
          </cell>
          <cell r="AJ14">
            <v>16453.150000000001</v>
          </cell>
          <cell r="AK14">
            <v>16993.862500000003</v>
          </cell>
          <cell r="AL14">
            <v>17762.531875000001</v>
          </cell>
          <cell r="AM14">
            <v>19078.337562499997</v>
          </cell>
          <cell r="AN14">
            <v>20737.538196875001</v>
          </cell>
          <cell r="AO14">
            <v>22186.823141874997</v>
          </cell>
        </row>
        <row r="16">
          <cell r="AC16">
            <v>8432.4</v>
          </cell>
          <cell r="AD16">
            <v>8810.8000000000011</v>
          </cell>
          <cell r="AE16">
            <v>8531.76</v>
          </cell>
          <cell r="AF16">
            <v>7681.2399999999989</v>
          </cell>
          <cell r="AG16">
            <v>9362.2000000000007</v>
          </cell>
          <cell r="AH16">
            <v>11889.6</v>
          </cell>
          <cell r="AI16">
            <v>13352.900000000001</v>
          </cell>
          <cell r="AJ16">
            <v>11210.431926489999</v>
          </cell>
          <cell r="AK16">
            <v>11252.917413769272</v>
          </cell>
        </row>
        <row r="18">
          <cell r="AC18">
            <v>8812.4629000000004</v>
          </cell>
          <cell r="AD18">
            <v>9728.6764999999996</v>
          </cell>
          <cell r="AE18">
            <v>8694.3799999999992</v>
          </cell>
          <cell r="AF18">
            <v>9134.25</v>
          </cell>
          <cell r="AG18">
            <v>8515.9500000000007</v>
          </cell>
          <cell r="AH18">
            <v>9421.1</v>
          </cell>
          <cell r="AI18">
            <v>8753.3999999999978</v>
          </cell>
          <cell r="AJ18">
            <v>11108.144980563642</v>
          </cell>
          <cell r="AK18">
            <v>13184.084211636353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"/>
      <sheetName val="7_10"/>
      <sheetName val="8"/>
      <sheetName val="add8"/>
      <sheetName val="9"/>
      <sheetName val="add9"/>
      <sheetName val="eq8"/>
      <sheetName val="eq9"/>
      <sheetName val="Лист1"/>
    </sheetNames>
    <sheetDataSet>
      <sheetData sheetId="0"/>
      <sheetData sheetId="1">
        <row r="6">
          <cell r="AC6">
            <v>53103.7</v>
          </cell>
          <cell r="AD6">
            <v>56769</v>
          </cell>
          <cell r="AE6">
            <v>55754.100000000006</v>
          </cell>
          <cell r="AF6">
            <v>57206.8</v>
          </cell>
          <cell r="AG6">
            <v>69163</v>
          </cell>
          <cell r="AH6">
            <v>78124.2</v>
          </cell>
          <cell r="AI6">
            <v>83093.399999999994</v>
          </cell>
          <cell r="AJ6">
            <v>89901.523433857743</v>
          </cell>
          <cell r="AK6">
            <v>96942.287111720812</v>
          </cell>
          <cell r="AL6">
            <v>106100.77128414609</v>
          </cell>
          <cell r="AM6">
            <v>116811.34114787738</v>
          </cell>
          <cell r="AN6">
            <v>128573.35292297025</v>
          </cell>
          <cell r="AO6">
            <v>140165.60367535069</v>
          </cell>
        </row>
        <row r="7">
          <cell r="AC7">
            <v>5.5336275203159602</v>
          </cell>
          <cell r="AD7">
            <v>4.1931341068986541</v>
          </cell>
          <cell r="AE7">
            <v>-4.4255169968892289</v>
          </cell>
          <cell r="AF7">
            <v>-3.8373493050461178</v>
          </cell>
          <cell r="AG7">
            <v>6.1457093428169287</v>
          </cell>
          <cell r="AH7">
            <v>3.8204399496160306</v>
          </cell>
          <cell r="AI7">
            <v>4.0710774295158387</v>
          </cell>
          <cell r="AJ7">
            <v>6.3405958958599626</v>
          </cell>
          <cell r="AK7">
            <v>4.978357701133703</v>
          </cell>
          <cell r="AL7">
            <v>4.1707865588462028</v>
          </cell>
          <cell r="AM7">
            <v>3.1795251043186283</v>
          </cell>
          <cell r="AN7">
            <v>2.8048378132728828</v>
          </cell>
          <cell r="AO7">
            <v>1.6907042801503422</v>
          </cell>
        </row>
        <row r="8">
          <cell r="AC8">
            <v>47557.2</v>
          </cell>
          <cell r="AD8">
            <v>51927.4</v>
          </cell>
          <cell r="AE8">
            <v>49826.400000000001</v>
          </cell>
          <cell r="AF8">
            <v>55379.100000000006</v>
          </cell>
          <cell r="AG8">
            <v>66465.7</v>
          </cell>
          <cell r="AH8">
            <v>76442.899999999994</v>
          </cell>
          <cell r="AI8">
            <v>81090.200000000012</v>
          </cell>
          <cell r="AJ8">
            <v>86280.934943786691</v>
          </cell>
          <cell r="AK8">
            <v>92937.551932650254</v>
          </cell>
          <cell r="AL8">
            <v>101689.34515062638</v>
          </cell>
          <cell r="AM8">
            <v>112387.62217473636</v>
          </cell>
          <cell r="AN8">
            <v>123906.01402224151</v>
          </cell>
          <cell r="AO8">
            <v>134654.98237326808</v>
          </cell>
        </row>
        <row r="9">
          <cell r="AC9">
            <v>4.4711192752760809</v>
          </cell>
          <cell r="AD9">
            <v>6.4223734253885425</v>
          </cell>
          <cell r="AE9">
            <v>-6.6231274875316473</v>
          </cell>
          <cell r="AF9">
            <v>4.1650349469779115</v>
          </cell>
          <cell r="AG9">
            <v>5.3726653444783778</v>
          </cell>
          <cell r="AH9">
            <v>5.7086864087084308</v>
          </cell>
          <cell r="AI9">
            <v>3.7959292430079756</v>
          </cell>
          <cell r="AJ9">
            <v>4.5791334931156484</v>
          </cell>
          <cell r="AK9">
            <v>4.8648524068398444</v>
          </cell>
          <cell r="AL9">
            <v>4.1417535518620383</v>
          </cell>
          <cell r="AM9">
            <v>3.5786121350744224</v>
          </cell>
          <cell r="AN9">
            <v>2.9725568061935661</v>
          </cell>
          <cell r="AO9">
            <v>1.3726533660982625</v>
          </cell>
        </row>
        <row r="11">
          <cell r="X11">
            <v>6527.3</v>
          </cell>
          <cell r="Y11">
            <v>7016.4</v>
          </cell>
          <cell r="Z11">
            <v>7462.8</v>
          </cell>
          <cell r="AA11">
            <v>7809.8</v>
          </cell>
          <cell r="AB11">
            <v>8636</v>
          </cell>
          <cell r="AC11">
            <v>9131.7999999999993</v>
          </cell>
          <cell r="AD11">
            <v>9607.2587000000003</v>
          </cell>
          <cell r="AE11">
            <v>6998.4</v>
          </cell>
          <cell r="AF11">
            <v>7758.2</v>
          </cell>
          <cell r="AG11">
            <v>9253.4</v>
          </cell>
          <cell r="AH11">
            <v>11411.6</v>
          </cell>
          <cell r="AI11">
            <v>12885.5</v>
          </cell>
          <cell r="AJ11">
            <v>14093.913213608232</v>
          </cell>
          <cell r="AK11">
            <v>15090.253474481538</v>
          </cell>
          <cell r="AL11">
            <v>16501.331574315333</v>
          </cell>
          <cell r="AM11">
            <v>18192.053569876614</v>
          </cell>
          <cell r="AN11">
            <v>20149.595700367983</v>
          </cell>
          <cell r="AO11">
            <v>22229.865018928369</v>
          </cell>
        </row>
        <row r="12">
          <cell r="X12">
            <v>8.1999999999999993</v>
          </cell>
          <cell r="Y12">
            <v>7.2</v>
          </cell>
          <cell r="Z12">
            <v>5.0999999999999996</v>
          </cell>
          <cell r="AA12">
            <v>-1.1000000000000001</v>
          </cell>
          <cell r="AB12">
            <v>1.2</v>
          </cell>
          <cell r="AC12">
            <v>3</v>
          </cell>
          <cell r="AD12">
            <v>3.1</v>
          </cell>
          <cell r="AE12">
            <v>-27.9</v>
          </cell>
          <cell r="AF12">
            <v>4.8</v>
          </cell>
          <cell r="AG12">
            <v>8</v>
          </cell>
          <cell r="AH12">
            <v>14</v>
          </cell>
          <cell r="AI12">
            <v>8.6</v>
          </cell>
          <cell r="AJ12">
            <v>6.7287867042705471</v>
          </cell>
          <cell r="AK12">
            <v>6.0533335283424918</v>
          </cell>
          <cell r="AL12">
            <v>5.4845892063429318</v>
          </cell>
          <cell r="AM12">
            <v>4.4667724888259812</v>
          </cell>
          <cell r="AN12">
            <v>4.5242912486465485</v>
          </cell>
          <cell r="AO12">
            <v>3.3931008231260762</v>
          </cell>
        </row>
      </sheetData>
      <sheetData sheetId="2">
        <row r="7">
          <cell r="AE7">
            <v>707.7</v>
          </cell>
          <cell r="AF7">
            <v>732.1</v>
          </cell>
          <cell r="AG7">
            <v>840</v>
          </cell>
          <cell r="AH7">
            <v>933.9</v>
          </cell>
          <cell r="AI7">
            <v>1009.2</v>
          </cell>
          <cell r="AJ7">
            <v>1085.2742718222999</v>
          </cell>
          <cell r="AK7">
            <v>1153.4176664204265</v>
          </cell>
          <cell r="AL7">
            <v>1237.9278789428677</v>
          </cell>
          <cell r="AM7">
            <v>1327.6107954764855</v>
          </cell>
          <cell r="AN7">
            <v>1428.4611160192078</v>
          </cell>
          <cell r="AO7">
            <v>1522.546776366572</v>
          </cell>
        </row>
        <row r="8">
          <cell r="AE8">
            <v>8.4384933159788744</v>
          </cell>
          <cell r="AF8">
            <v>-3.0479956785441829</v>
          </cell>
          <cell r="AG8">
            <v>0.73610510325509892</v>
          </cell>
          <cell r="AH8">
            <v>2.1861869747898908</v>
          </cell>
          <cell r="AI8">
            <v>5.7367532027486732</v>
          </cell>
          <cell r="AJ8">
            <v>5.6965553291575084</v>
          </cell>
          <cell r="AK8">
            <v>3.4667137342736454</v>
          </cell>
          <cell r="AL8">
            <v>2.1525961945870318</v>
          </cell>
          <cell r="AM8">
            <v>0.50842950025208999</v>
          </cell>
          <cell r="AN8">
            <v>0.49518192795601024</v>
          </cell>
          <cell r="AO8">
            <v>-0.57559653024929081</v>
          </cell>
        </row>
        <row r="58">
          <cell r="AE58">
            <v>3348.6</v>
          </cell>
          <cell r="AF58">
            <v>3166.6</v>
          </cell>
          <cell r="AG58">
            <v>3367.9</v>
          </cell>
          <cell r="AH58">
            <v>3506.3</v>
          </cell>
          <cell r="AI58">
            <v>3729.4</v>
          </cell>
          <cell r="AJ58">
            <v>3729.4</v>
          </cell>
          <cell r="AK58">
            <v>3749.2336358528546</v>
          </cell>
          <cell r="AL58">
            <v>3766.1023548246535</v>
          </cell>
          <cell r="AM58">
            <v>3799.8834578998553</v>
          </cell>
          <cell r="AN58">
            <v>3823.2170488124671</v>
          </cell>
          <cell r="AO58">
            <v>3861.8772140571987</v>
          </cell>
        </row>
        <row r="59">
          <cell r="AE59">
            <v>4.5851664081783667</v>
          </cell>
          <cell r="AF59">
            <v>-11.373108911886462</v>
          </cell>
          <cell r="AG59">
            <v>-6.6224969830241349</v>
          </cell>
          <cell r="AH59">
            <v>-4.3112264057022713</v>
          </cell>
          <cell r="AI59">
            <v>4.0732217373558228</v>
          </cell>
          <cell r="AJ59">
            <v>-1.7124367473704609</v>
          </cell>
          <cell r="AK59">
            <v>-2.1283067500729373</v>
          </cell>
          <cell r="AL59">
            <v>-4.3928706476097545</v>
          </cell>
          <cell r="AM59">
            <v>-5.4404899357615619</v>
          </cell>
          <cell r="AN59">
            <v>-6.0263122196466696</v>
          </cell>
          <cell r="AO59">
            <v>-5.7762726567656699</v>
          </cell>
        </row>
        <row r="60">
          <cell r="AE60">
            <v>651.1</v>
          </cell>
          <cell r="AF60">
            <v>683.6</v>
          </cell>
          <cell r="AG60">
            <v>790.4</v>
          </cell>
          <cell r="AH60">
            <v>885</v>
          </cell>
          <cell r="AI60">
            <v>959.6</v>
          </cell>
          <cell r="AJ60">
            <v>1039.4665939069371</v>
          </cell>
          <cell r="AK60">
            <v>1109.5228253131008</v>
          </cell>
          <cell r="AL60">
            <v>1196.264571097036</v>
          </cell>
          <cell r="AM60">
            <v>1287.9749699207885</v>
          </cell>
          <cell r="AN60">
            <v>1390.9539162243329</v>
          </cell>
          <cell r="AO60">
            <v>1486.8573952721274</v>
          </cell>
        </row>
        <row r="61">
          <cell r="AE61">
            <v>9.3945116788806189</v>
          </cell>
          <cell r="AF61">
            <v>-1.6011689251424741</v>
          </cell>
          <cell r="AG61">
            <v>1.5128809879628022</v>
          </cell>
          <cell r="AH61">
            <v>2.9123377589902191</v>
          </cell>
          <cell r="AI61">
            <v>6.0952823200327089</v>
          </cell>
          <cell r="AJ61">
            <v>5.8314416565369029</v>
          </cell>
          <cell r="AK61">
            <v>3.5657440775536853</v>
          </cell>
          <cell r="AL61">
            <v>2.2657239595295731</v>
          </cell>
          <cell r="AM61">
            <v>0.60871331505766202</v>
          </cell>
          <cell r="AN61">
            <v>0.60219247201276938</v>
          </cell>
          <cell r="AO61">
            <v>-0.49215162008501573</v>
          </cell>
        </row>
      </sheetData>
      <sheetData sheetId="3"/>
      <sheetData sheetId="4">
        <row r="7">
          <cell r="AE7">
            <v>4721.2</v>
          </cell>
          <cell r="AF7">
            <v>4831.1000000000004</v>
          </cell>
          <cell r="AG7">
            <v>4901.1000000000004</v>
          </cell>
          <cell r="AH7">
            <v>4963.3</v>
          </cell>
          <cell r="AI7">
            <v>5029.8</v>
          </cell>
          <cell r="AJ7">
            <v>5085.332579548477</v>
          </cell>
          <cell r="AK7">
            <v>5136.2449632040752</v>
          </cell>
          <cell r="AL7">
            <v>5187.5628348172841</v>
          </cell>
          <cell r="AM7">
            <v>5239.3161303926736</v>
          </cell>
          <cell r="AN7">
            <v>5296.9901143153911</v>
          </cell>
          <cell r="AO7">
            <v>5332.3364377225043</v>
          </cell>
        </row>
        <row r="8">
          <cell r="AE8">
            <v>-1.3457037780006829</v>
          </cell>
          <cell r="AF8">
            <v>2.3277980174532047</v>
          </cell>
          <cell r="AG8">
            <v>1.4489453747593757</v>
          </cell>
          <cell r="AH8">
            <v>1.2691028544612522</v>
          </cell>
          <cell r="AI8">
            <v>1.339834384381362</v>
          </cell>
          <cell r="AJ8">
            <v>1.1040713258673662</v>
          </cell>
          <cell r="AK8">
            <v>1.0011613372221007</v>
          </cell>
          <cell r="AL8">
            <v>0.99913208931521069</v>
          </cell>
          <cell r="AM8">
            <v>0.99764180643823863</v>
          </cell>
          <cell r="AN8">
            <v>1.1007922119483595</v>
          </cell>
          <cell r="AO8">
            <v>0.66729071877232116</v>
          </cell>
        </row>
        <row r="58">
          <cell r="AE58">
            <v>33.799999999999997</v>
          </cell>
          <cell r="AF58">
            <v>31.6</v>
          </cell>
          <cell r="AG58">
            <v>31.7</v>
          </cell>
          <cell r="AH58">
            <v>31.4</v>
          </cell>
          <cell r="AI58">
            <v>31.8</v>
          </cell>
          <cell r="AJ58">
            <v>31.924760305851844</v>
          </cell>
          <cell r="AK58">
            <v>32.030734366549993</v>
          </cell>
          <cell r="AL58">
            <v>32.242584148369559</v>
          </cell>
          <cell r="AM58">
            <v>32.388627074478983</v>
          </cell>
          <cell r="AN58">
            <v>32.630085419480729</v>
          </cell>
        </row>
        <row r="59">
          <cell r="AE59">
            <v>-2.5936599423631179</v>
          </cell>
          <cell r="AF59">
            <v>-6.5088757396449637</v>
          </cell>
          <cell r="AG59">
            <v>0.31645569620253866</v>
          </cell>
          <cell r="AH59">
            <v>-0.94637223974764595</v>
          </cell>
          <cell r="AI59">
            <v>1.2738853503184657</v>
          </cell>
          <cell r="AJ59">
            <v>0.39232800582340133</v>
          </cell>
          <cell r="AK59">
            <v>0.33194943261240439</v>
          </cell>
          <cell r="AL59">
            <v>0.66139533173115694</v>
          </cell>
          <cell r="AM59">
            <v>0.45295043795925949</v>
          </cell>
          <cell r="AN59">
            <v>0.74550348937762578</v>
          </cell>
        </row>
        <row r="60">
          <cell r="AE60">
            <v>4687.3999999999996</v>
          </cell>
          <cell r="AF60">
            <v>4799.5</v>
          </cell>
          <cell r="AG60">
            <v>4869.4000000000005</v>
          </cell>
          <cell r="AH60">
            <v>4931.9000000000005</v>
          </cell>
          <cell r="AI60">
            <v>4998</v>
          </cell>
          <cell r="AJ60">
            <v>5053.407819242625</v>
          </cell>
          <cell r="AK60">
            <v>5104.2142288375253</v>
          </cell>
          <cell r="AL60">
            <v>5155.3202506689149</v>
          </cell>
          <cell r="AM60">
            <v>5206.9275033181948</v>
          </cell>
          <cell r="AN60">
            <v>5264.3600288959105</v>
          </cell>
        </row>
        <row r="61">
          <cell r="AE61">
            <v>-1.336588856848195</v>
          </cell>
          <cell r="AF61">
            <v>2.3915176857106388</v>
          </cell>
          <cell r="AG61">
            <v>1.4564017085113079</v>
          </cell>
          <cell r="AH61">
            <v>1.2835256910502295</v>
          </cell>
          <cell r="AI61">
            <v>1.3402542630629029</v>
          </cell>
          <cell r="AJ61">
            <v>1.1085998247824165</v>
          </cell>
          <cell r="AK61">
            <v>1.0053890644138477</v>
          </cell>
          <cell r="AL61">
            <v>1.0012515059155191</v>
          </cell>
          <cell r="AM61">
            <v>1.0010484342380721</v>
          </cell>
          <cell r="AN61">
            <v>1.1030022127466879</v>
          </cell>
        </row>
      </sheetData>
      <sheetData sheetId="5">
        <row r="5">
          <cell r="AC5">
            <v>9951.4</v>
          </cell>
          <cell r="AD5">
            <v>9974</v>
          </cell>
          <cell r="AE5">
            <v>10026.099999999999</v>
          </cell>
          <cell r="AF5">
            <v>10063.299999999999</v>
          </cell>
          <cell r="AG5">
            <v>10127.145</v>
          </cell>
          <cell r="AH5">
            <v>10180.799999999999</v>
          </cell>
          <cell r="AI5">
            <v>10224.899999999998</v>
          </cell>
          <cell r="AJ5">
            <v>10269.4</v>
          </cell>
          <cell r="AK5">
            <v>10313.299999999999</v>
          </cell>
          <cell r="AL5">
            <v>10356.199999999999</v>
          </cell>
          <cell r="AM5">
            <v>10396.300000000003</v>
          </cell>
          <cell r="AN5">
            <v>10435.5</v>
          </cell>
          <cell r="AO5">
            <v>10488.800000000001</v>
          </cell>
        </row>
        <row r="6">
          <cell r="AB6">
            <v>9778.1</v>
          </cell>
          <cell r="AC6">
            <v>9831.4</v>
          </cell>
          <cell r="AD6">
            <v>9974</v>
          </cell>
          <cell r="AE6">
            <v>10026.099999999999</v>
          </cell>
          <cell r="AF6">
            <v>10063.299999999999</v>
          </cell>
          <cell r="AG6">
            <v>10127.145</v>
          </cell>
          <cell r="AH6">
            <v>10180.799999999999</v>
          </cell>
          <cell r="AI6">
            <v>10224.899999999998</v>
          </cell>
          <cell r="AJ6">
            <v>10269.4</v>
          </cell>
          <cell r="AK6">
            <v>10313.299999999999</v>
          </cell>
          <cell r="AL6">
            <v>10356.199999999999</v>
          </cell>
          <cell r="AM6">
            <v>10396.300000000003</v>
          </cell>
          <cell r="AN6">
            <v>10435.5</v>
          </cell>
          <cell r="AO6">
            <v>10488.800000000001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4_"/>
      <sheetName val="add4agr_"/>
    </sheetNames>
    <sheetDataSet>
      <sheetData sheetId="0"/>
      <sheetData sheetId="1">
        <row r="8">
          <cell r="AC8">
            <v>3309.2</v>
          </cell>
          <cell r="AD8">
            <v>3538.46</v>
          </cell>
          <cell r="AE8">
            <v>3257.1</v>
          </cell>
          <cell r="AF8">
            <v>3363</v>
          </cell>
          <cell r="AG8">
            <v>3161.3</v>
          </cell>
          <cell r="AH8">
            <v>3248.59</v>
          </cell>
          <cell r="AI8">
            <v>3278.1</v>
          </cell>
          <cell r="AJ8">
            <v>3224.9893619999998</v>
          </cell>
          <cell r="AK8">
            <v>3327.9099999999994</v>
          </cell>
          <cell r="AL8">
            <v>3383.7220000000002</v>
          </cell>
          <cell r="AM8">
            <v>3430.89</v>
          </cell>
          <cell r="AN8">
            <v>3533.91</v>
          </cell>
          <cell r="AO8">
            <v>3448.1099999999997</v>
          </cell>
        </row>
        <row r="9">
          <cell r="AC9">
            <v>2042.9</v>
          </cell>
          <cell r="AD9">
            <v>2171.5</v>
          </cell>
          <cell r="AE9">
            <v>1867.3</v>
          </cell>
          <cell r="AF9">
            <v>1885.4</v>
          </cell>
          <cell r="AG9">
            <v>1736.1</v>
          </cell>
          <cell r="AH9">
            <v>1833.9</v>
          </cell>
          <cell r="AI9">
            <v>1685.7</v>
          </cell>
          <cell r="AJ9">
            <v>1579.024512</v>
          </cell>
          <cell r="AK9">
            <v>1643.2</v>
          </cell>
          <cell r="AL9">
            <v>1674.75</v>
          </cell>
          <cell r="AM9">
            <v>1696</v>
          </cell>
          <cell r="AN9">
            <v>1776.5</v>
          </cell>
          <cell r="AO9">
            <v>1684.8</v>
          </cell>
        </row>
        <row r="10">
          <cell r="AC10">
            <v>12.4</v>
          </cell>
          <cell r="AD10">
            <v>11.959999999999999</v>
          </cell>
          <cell r="AE10">
            <v>9.9</v>
          </cell>
          <cell r="AF10">
            <v>10.7</v>
          </cell>
          <cell r="AG10">
            <v>11.6</v>
          </cell>
          <cell r="AH10">
            <v>14.9</v>
          </cell>
          <cell r="AI10">
            <v>19.600000000000001</v>
          </cell>
          <cell r="AJ10">
            <v>19.361920000000001</v>
          </cell>
          <cell r="AK10">
            <v>19.900000000000002</v>
          </cell>
          <cell r="AL10">
            <v>20.05</v>
          </cell>
          <cell r="AM10">
            <v>20.2</v>
          </cell>
          <cell r="AN10">
            <v>20.3</v>
          </cell>
          <cell r="AO10">
            <v>20.96</v>
          </cell>
        </row>
        <row r="11">
          <cell r="AC11">
            <v>1521.9</v>
          </cell>
          <cell r="AD11">
            <v>1714.7</v>
          </cell>
          <cell r="AE11">
            <v>1738.9</v>
          </cell>
          <cell r="AF11">
            <v>1815.5</v>
          </cell>
          <cell r="AG11">
            <v>1823.3</v>
          </cell>
          <cell r="AH11">
            <v>1825.6</v>
          </cell>
          <cell r="AI11">
            <v>1838.9</v>
          </cell>
          <cell r="AJ11">
            <v>1856.278</v>
          </cell>
          <cell r="AK11">
            <v>1898.3400000000001</v>
          </cell>
          <cell r="AL11">
            <v>1921.32</v>
          </cell>
          <cell r="AM11">
            <v>1934.5</v>
          </cell>
          <cell r="AN11">
            <v>1955.2</v>
          </cell>
          <cell r="AO11">
            <v>2022.5</v>
          </cell>
        </row>
        <row r="12">
          <cell r="AC12">
            <v>401.9</v>
          </cell>
          <cell r="AD12">
            <v>447.6</v>
          </cell>
          <cell r="AE12">
            <v>448.1</v>
          </cell>
          <cell r="AF12">
            <v>459.9</v>
          </cell>
          <cell r="AG12">
            <v>469.3</v>
          </cell>
          <cell r="AH12">
            <v>438.2</v>
          </cell>
          <cell r="AI12">
            <v>490.6</v>
          </cell>
          <cell r="AJ12">
            <v>474.00119999999998</v>
          </cell>
          <cell r="AK12">
            <v>492.5</v>
          </cell>
          <cell r="AL12">
            <v>500.94000000000005</v>
          </cell>
          <cell r="AM12">
            <v>510.04800000000006</v>
          </cell>
          <cell r="AN12">
            <v>520.20000000000005</v>
          </cell>
          <cell r="AO12">
            <v>539.72</v>
          </cell>
        </row>
        <row r="13">
          <cell r="AC13">
            <v>898.9</v>
          </cell>
          <cell r="AD13">
            <v>1004.2</v>
          </cell>
          <cell r="AE13">
            <v>1037.5999999999999</v>
          </cell>
          <cell r="AF13">
            <v>1062</v>
          </cell>
          <cell r="AG13">
            <v>1074.3</v>
          </cell>
          <cell r="AH13">
            <v>1010.5</v>
          </cell>
          <cell r="AI13">
            <v>927.4</v>
          </cell>
          <cell r="AJ13">
            <v>946.76232000000005</v>
          </cell>
          <cell r="AK13">
            <v>1003.2</v>
          </cell>
          <cell r="AL13">
            <v>1043</v>
          </cell>
          <cell r="AM13">
            <v>1095.5</v>
          </cell>
          <cell r="AN13">
            <v>1153</v>
          </cell>
          <cell r="AO13">
            <v>1142.2</v>
          </cell>
        </row>
        <row r="14">
          <cell r="AC14">
            <v>233.6</v>
          </cell>
          <cell r="AD14">
            <v>295.29499999999996</v>
          </cell>
          <cell r="AE14">
            <v>336.8</v>
          </cell>
          <cell r="AF14">
            <v>287</v>
          </cell>
          <cell r="AG14">
            <v>322.5</v>
          </cell>
          <cell r="AH14">
            <v>276.3</v>
          </cell>
          <cell r="AI14">
            <v>310.8</v>
          </cell>
          <cell r="AJ14">
            <v>305.78184300000004</v>
          </cell>
          <cell r="AK14">
            <v>309.24799999999999</v>
          </cell>
          <cell r="AL14">
            <v>312.32000000000005</v>
          </cell>
          <cell r="AM14">
            <v>314.67500000000001</v>
          </cell>
          <cell r="AN14">
            <v>316.72500000000002</v>
          </cell>
          <cell r="AO14">
            <v>316.72500000000002</v>
          </cell>
        </row>
        <row r="15">
          <cell r="AC15">
            <v>6.3</v>
          </cell>
          <cell r="AD15">
            <v>6</v>
          </cell>
          <cell r="AE15">
            <v>6.9</v>
          </cell>
          <cell r="AF15">
            <v>6.4</v>
          </cell>
          <cell r="AG15">
            <v>5.0999999999999996</v>
          </cell>
          <cell r="AH15">
            <v>6.3</v>
          </cell>
          <cell r="AI15">
            <v>6.5</v>
          </cell>
          <cell r="AJ15">
            <v>7.5215000000000005</v>
          </cell>
          <cell r="AK15">
            <v>6.4855999999999998</v>
          </cell>
          <cell r="AL15">
            <v>6.5339999999999998</v>
          </cell>
          <cell r="AM15">
            <v>6.6096000000000013</v>
          </cell>
          <cell r="AN15">
            <v>6.7375000000000007</v>
          </cell>
          <cell r="AO15">
            <v>6.7375000000000007</v>
          </cell>
        </row>
        <row r="16">
          <cell r="AC16">
            <v>299.39999999999998</v>
          </cell>
          <cell r="AD16">
            <v>237</v>
          </cell>
          <cell r="AE16">
            <v>253.3</v>
          </cell>
          <cell r="AF16">
            <v>193.2</v>
          </cell>
          <cell r="AG16">
            <v>222.7</v>
          </cell>
          <cell r="AH16">
            <v>219.8</v>
          </cell>
          <cell r="AI16">
            <v>290.10000000000002</v>
          </cell>
          <cell r="AJ16">
            <v>318.62747999999999</v>
          </cell>
          <cell r="AK16">
            <v>316.8</v>
          </cell>
          <cell r="AL16">
            <v>318.24</v>
          </cell>
          <cell r="AM16">
            <v>324.84999999999997</v>
          </cell>
          <cell r="AN16">
            <v>324.84999999999997</v>
          </cell>
          <cell r="AO16">
            <v>318.24</v>
          </cell>
        </row>
        <row r="17">
          <cell r="AC17">
            <v>24.3</v>
          </cell>
          <cell r="AD17">
            <v>34.799999999999997</v>
          </cell>
          <cell r="AE17">
            <v>24.8</v>
          </cell>
          <cell r="AF17">
            <v>25.8</v>
          </cell>
          <cell r="AG17">
            <v>29.4</v>
          </cell>
          <cell r="AH17">
            <v>29.3</v>
          </cell>
          <cell r="AI17">
            <v>31.2</v>
          </cell>
          <cell r="AJ17">
            <v>31.30386</v>
          </cell>
          <cell r="AK17">
            <v>31.859999999999996</v>
          </cell>
          <cell r="AL17">
            <v>32.549999999999997</v>
          </cell>
          <cell r="AM17">
            <v>33.239999999999995</v>
          </cell>
          <cell r="AN17">
            <v>33.699999999999996</v>
          </cell>
          <cell r="AO17">
            <v>33.699999999999996</v>
          </cell>
        </row>
        <row r="18">
          <cell r="AC18">
            <v>1010.8</v>
          </cell>
          <cell r="AD18">
            <v>1099.7</v>
          </cell>
          <cell r="AE18">
            <v>1133.0999999999999</v>
          </cell>
          <cell r="AF18">
            <v>1204.9000000000001</v>
          </cell>
          <cell r="AG18">
            <v>1253.0999999999999</v>
          </cell>
          <cell r="AH18">
            <v>1261.3</v>
          </cell>
          <cell r="AI18">
            <v>1317.9</v>
          </cell>
          <cell r="AJ18">
            <v>1392.2764999999999</v>
          </cell>
          <cell r="AK18">
            <v>1462.6765</v>
          </cell>
          <cell r="AL18">
            <v>1533.0764999999999</v>
          </cell>
          <cell r="AM18">
            <v>1590.7</v>
          </cell>
          <cell r="AN18">
            <v>1639.4999999999998</v>
          </cell>
          <cell r="AO18">
            <v>1516.08</v>
          </cell>
        </row>
        <row r="19">
          <cell r="AC19">
            <v>167.6</v>
          </cell>
          <cell r="AD19">
            <v>201.84229999999999</v>
          </cell>
          <cell r="AE19">
            <v>208</v>
          </cell>
          <cell r="AF19">
            <v>209.8</v>
          </cell>
          <cell r="AG19">
            <v>212.6</v>
          </cell>
          <cell r="AH19">
            <v>224.5</v>
          </cell>
          <cell r="AI19">
            <v>205.1</v>
          </cell>
          <cell r="AJ19">
            <v>205.6</v>
          </cell>
          <cell r="AK19">
            <v>207.08</v>
          </cell>
          <cell r="AL19">
            <v>207.82</v>
          </cell>
          <cell r="AM19">
            <v>210.04000000000002</v>
          </cell>
          <cell r="AN19">
            <v>216.98</v>
          </cell>
          <cell r="AO19">
            <v>216.98</v>
          </cell>
        </row>
        <row r="20">
          <cell r="AC20">
            <v>0.87</v>
          </cell>
          <cell r="AD20">
            <v>0.9294</v>
          </cell>
          <cell r="AE20">
            <v>0.93149999999999999</v>
          </cell>
          <cell r="AF20">
            <v>1.1777</v>
          </cell>
          <cell r="AG20">
            <v>1.0008999999999999</v>
          </cell>
          <cell r="AH20">
            <v>1.1237999999999999</v>
          </cell>
          <cell r="AI20">
            <v>1.0694999999999999</v>
          </cell>
          <cell r="AJ20">
            <v>1.0874999999999999</v>
          </cell>
          <cell r="AK20">
            <v>1.1264000000000001</v>
          </cell>
          <cell r="AL20">
            <v>1.1700000000000002</v>
          </cell>
          <cell r="AM20">
            <v>1.1835</v>
          </cell>
          <cell r="AN20">
            <v>1.1970000000000001</v>
          </cell>
          <cell r="AO20">
            <v>1.26</v>
          </cell>
        </row>
        <row r="22">
          <cell r="AC22">
            <v>556.6</v>
          </cell>
          <cell r="AD22">
            <v>573.29999999999995</v>
          </cell>
          <cell r="AE22">
            <v>591.1</v>
          </cell>
          <cell r="AF22">
            <v>610</v>
          </cell>
          <cell r="AG22">
            <v>628.02909999999997</v>
          </cell>
          <cell r="AH22">
            <v>647.74919999999997</v>
          </cell>
          <cell r="AI22">
            <v>659</v>
          </cell>
          <cell r="AJ22">
            <v>672.51975083633761</v>
          </cell>
          <cell r="AK22">
            <v>684.47475907050966</v>
          </cell>
          <cell r="AL22">
            <v>701.466538787373</v>
          </cell>
          <cell r="AM22">
            <v>716.26251257488411</v>
          </cell>
          <cell r="AN22">
            <v>732.83625645719894</v>
          </cell>
          <cell r="AO22">
            <v>741.82087139397686</v>
          </cell>
        </row>
        <row r="23">
          <cell r="AC23">
            <v>239.9</v>
          </cell>
          <cell r="AD23">
            <v>243.7</v>
          </cell>
          <cell r="AE23">
            <v>252.87870000000001</v>
          </cell>
          <cell r="AF23">
            <v>256.60000000000002</v>
          </cell>
          <cell r="AG23">
            <v>263.09659999999997</v>
          </cell>
          <cell r="AH23">
            <v>271.63579999999996</v>
          </cell>
          <cell r="AI23">
            <v>272</v>
          </cell>
          <cell r="AJ23">
            <v>275.26400000000001</v>
          </cell>
          <cell r="AK23">
            <v>279.39296000000002</v>
          </cell>
          <cell r="AL23">
            <v>284.42203327999999</v>
          </cell>
          <cell r="AM23">
            <v>290.67931801215997</v>
          </cell>
          <cell r="AN23">
            <v>297.94630096246397</v>
          </cell>
          <cell r="AO23">
            <v>297.72438409591763</v>
          </cell>
        </row>
        <row r="24">
          <cell r="AC24">
            <v>165.7</v>
          </cell>
          <cell r="AD24">
            <v>174.7</v>
          </cell>
          <cell r="AE24">
            <v>178.41679999999999</v>
          </cell>
          <cell r="AF24">
            <v>180</v>
          </cell>
          <cell r="AG24">
            <v>183.673</v>
          </cell>
          <cell r="AH24">
            <v>184.01009999999999</v>
          </cell>
          <cell r="AI24">
            <v>185.9</v>
          </cell>
          <cell r="AJ24">
            <v>186.67279637121487</v>
          </cell>
          <cell r="AK24">
            <v>189.57337256344243</v>
          </cell>
          <cell r="AL24">
            <v>191.85239671447832</v>
          </cell>
          <cell r="AM24">
            <v>193.92423685178372</v>
          </cell>
          <cell r="AN24">
            <v>196.20326100281966</v>
          </cell>
          <cell r="AO24">
            <v>195.91300457354092</v>
          </cell>
        </row>
        <row r="25">
          <cell r="AC25">
            <v>150.30000000000001</v>
          </cell>
          <cell r="AD25">
            <v>154.19999999999999</v>
          </cell>
          <cell r="AE25">
            <v>159.13810000000001</v>
          </cell>
          <cell r="AF25">
            <v>172.7</v>
          </cell>
          <cell r="AG25">
            <v>180.54689999999999</v>
          </cell>
          <cell r="AH25">
            <v>191.4049</v>
          </cell>
          <cell r="AI25">
            <v>200.4</v>
          </cell>
          <cell r="AJ25">
            <v>209.87076819962161</v>
          </cell>
          <cell r="AK25">
            <v>214.76775279094613</v>
          </cell>
          <cell r="AL25">
            <v>224.42180812812873</v>
          </cell>
          <cell r="AM25">
            <v>230.85784501958378</v>
          </cell>
          <cell r="AN25">
            <v>237.85353729290449</v>
          </cell>
          <cell r="AO25">
            <v>247.35032552550737</v>
          </cell>
        </row>
        <row r="26">
          <cell r="AC26">
            <v>1676.2</v>
          </cell>
          <cell r="AD26">
            <v>1827.1</v>
          </cell>
          <cell r="AE26">
            <v>1906.2</v>
          </cell>
          <cell r="AF26">
            <v>1838.8</v>
          </cell>
          <cell r="AG26">
            <v>2018.1460000000002</v>
          </cell>
          <cell r="AH26">
            <v>2188.1999999999998</v>
          </cell>
          <cell r="AI26">
            <v>2300.8000000000002</v>
          </cell>
          <cell r="AJ26">
            <v>2400</v>
          </cell>
          <cell r="AK26">
            <v>2450</v>
          </cell>
          <cell r="AL26">
            <v>2480</v>
          </cell>
          <cell r="AM26">
            <v>2560</v>
          </cell>
          <cell r="AN26">
            <v>2630</v>
          </cell>
          <cell r="AO26">
            <v>2728.3340939903997</v>
          </cell>
        </row>
        <row r="27">
          <cell r="AC27">
            <v>2080.4</v>
          </cell>
          <cell r="AD27">
            <v>2150.8000000000002</v>
          </cell>
          <cell r="AE27">
            <v>2192.5</v>
          </cell>
          <cell r="AF27">
            <v>2223.4</v>
          </cell>
          <cell r="AG27">
            <v>2264.6779999999999</v>
          </cell>
          <cell r="AH27">
            <v>2284</v>
          </cell>
          <cell r="AI27">
            <v>2298.5</v>
          </cell>
          <cell r="AJ27">
            <v>2321.4</v>
          </cell>
          <cell r="AK27">
            <v>2380.1</v>
          </cell>
          <cell r="AL27">
            <v>2420.6</v>
          </cell>
          <cell r="AM27">
            <v>2469</v>
          </cell>
          <cell r="AN27">
            <v>2469</v>
          </cell>
          <cell r="AO27">
            <v>2500.5104997874155</v>
          </cell>
        </row>
        <row r="28">
          <cell r="AC28">
            <v>15.8</v>
          </cell>
          <cell r="AD28">
            <v>16.098600000000001</v>
          </cell>
          <cell r="AE28">
            <v>16.100000000000001</v>
          </cell>
          <cell r="AF28">
            <v>16.100000000000001</v>
          </cell>
          <cell r="AG28">
            <v>15.772</v>
          </cell>
          <cell r="AH28">
            <v>15.1</v>
          </cell>
          <cell r="AI28">
            <v>14.8</v>
          </cell>
          <cell r="AJ28">
            <v>15.038292936147503</v>
          </cell>
          <cell r="AK28">
            <v>15.277132568309812</v>
          </cell>
          <cell r="AL28">
            <v>15.596051001447101</v>
          </cell>
          <cell r="AM28">
            <v>15.898322666180183</v>
          </cell>
          <cell r="AN28">
            <v>16.183034748310916</v>
          </cell>
          <cell r="AO28">
            <v>15.721492042208194</v>
          </cell>
        </row>
        <row r="29">
          <cell r="AC29">
            <v>513.9</v>
          </cell>
          <cell r="AD29">
            <v>643.70000000000005</v>
          </cell>
          <cell r="AE29">
            <v>446.6</v>
          </cell>
          <cell r="AF29">
            <v>497.4</v>
          </cell>
          <cell r="AG29">
            <v>341.4</v>
          </cell>
          <cell r="AH29">
            <v>357</v>
          </cell>
          <cell r="AI29">
            <v>239.4</v>
          </cell>
          <cell r="AJ29">
            <v>250</v>
          </cell>
          <cell r="AK29">
            <v>255</v>
          </cell>
          <cell r="AL29">
            <v>262</v>
          </cell>
          <cell r="AM29">
            <v>270</v>
          </cell>
          <cell r="AN29">
            <v>280</v>
          </cell>
          <cell r="AO29">
            <v>280</v>
          </cell>
        </row>
        <row r="30">
          <cell r="AC30">
            <v>2658.8</v>
          </cell>
          <cell r="AD30">
            <v>2646.6</v>
          </cell>
          <cell r="AE30">
            <v>2650.7</v>
          </cell>
          <cell r="AF30">
            <v>2648.8</v>
          </cell>
          <cell r="AG30">
            <v>2618.1</v>
          </cell>
          <cell r="AH30">
            <v>2507.6999999999998</v>
          </cell>
          <cell r="AI30">
            <v>2465.6219999999998</v>
          </cell>
          <cell r="AJ30">
            <v>2482.3000000000002</v>
          </cell>
          <cell r="AK30">
            <v>2494.6999999999998</v>
          </cell>
          <cell r="AL30">
            <v>2509.6999999999998</v>
          </cell>
          <cell r="AM30">
            <v>2529.8000000000002</v>
          </cell>
          <cell r="AN30">
            <v>2535</v>
          </cell>
          <cell r="AO30">
            <v>2537.9281608423826</v>
          </cell>
        </row>
        <row r="31">
          <cell r="AC31">
            <v>1279.0999999999999</v>
          </cell>
          <cell r="AD31">
            <v>1278.2</v>
          </cell>
          <cell r="AE31">
            <v>1280.5</v>
          </cell>
          <cell r="AF31">
            <v>1288</v>
          </cell>
          <cell r="AG31">
            <v>1288.8</v>
          </cell>
          <cell r="AH31">
            <v>1235.0999999999999</v>
          </cell>
          <cell r="AI31">
            <v>1224.201</v>
          </cell>
          <cell r="AJ31">
            <v>1232.60500827549</v>
          </cell>
          <cell r="AK31">
            <v>1238.7623229041069</v>
          </cell>
          <cell r="AL31">
            <v>1246.2106873742082</v>
          </cell>
          <cell r="AM31">
            <v>1256.1914957641441</v>
          </cell>
          <cell r="AN31">
            <v>1258.7735954471125</v>
          </cell>
          <cell r="AO31">
            <v>1250.1268719296327</v>
          </cell>
        </row>
        <row r="32">
          <cell r="AC32">
            <v>8304.1</v>
          </cell>
          <cell r="AD32">
            <v>8189.2</v>
          </cell>
          <cell r="AE32">
            <v>8089.65</v>
          </cell>
          <cell r="AF32">
            <v>7899.7</v>
          </cell>
          <cell r="AG32">
            <v>7751.7</v>
          </cell>
          <cell r="AH32">
            <v>7060.6</v>
          </cell>
          <cell r="AI32">
            <v>6896.52</v>
          </cell>
          <cell r="AJ32">
            <v>6904</v>
          </cell>
          <cell r="AK32">
            <v>6910</v>
          </cell>
          <cell r="AL32">
            <v>6950</v>
          </cell>
          <cell r="AM32">
            <v>6980</v>
          </cell>
          <cell r="AN32">
            <v>7000</v>
          </cell>
          <cell r="AO32">
            <v>6931.0716341996858</v>
          </cell>
        </row>
        <row r="33">
          <cell r="AC33">
            <v>5.5</v>
          </cell>
          <cell r="AD33">
            <v>5.7</v>
          </cell>
          <cell r="AE33">
            <v>5.9</v>
          </cell>
          <cell r="AF33">
            <v>6</v>
          </cell>
          <cell r="AG33">
            <v>5.0999999999999996</v>
          </cell>
          <cell r="AH33">
            <v>4.8</v>
          </cell>
          <cell r="AI33">
            <v>3.1</v>
          </cell>
          <cell r="AJ33">
            <v>3.1138605000000004</v>
          </cell>
          <cell r="AK33">
            <v>3.2539842225000002</v>
          </cell>
          <cell r="AL33">
            <v>3.3841435914000004</v>
          </cell>
          <cell r="AM33">
            <v>3.5195093350560005</v>
          </cell>
          <cell r="AN33">
            <v>3.6602897084582406</v>
          </cell>
          <cell r="AO33">
            <v>3.6602897084582406</v>
          </cell>
        </row>
        <row r="34">
          <cell r="AC34">
            <v>30.4984</v>
          </cell>
          <cell r="AD34">
            <v>32.230200000000004</v>
          </cell>
          <cell r="AE34">
            <v>30.175812000000001</v>
          </cell>
          <cell r="AF34">
            <v>29.6</v>
          </cell>
          <cell r="AG34">
            <v>29.794899999999998</v>
          </cell>
          <cell r="AH34">
            <v>28.6983</v>
          </cell>
          <cell r="AI34">
            <v>29.3</v>
          </cell>
          <cell r="AJ34">
            <v>29.38</v>
          </cell>
          <cell r="AK34">
            <v>29.25</v>
          </cell>
          <cell r="AL34">
            <v>29.05</v>
          </cell>
          <cell r="AM34">
            <v>29.19</v>
          </cell>
          <cell r="AN34">
            <v>29.6</v>
          </cell>
          <cell r="AO34">
            <v>29.6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O&amp;G"/>
      <sheetName val="BP"/>
      <sheetName val="SOCAR"/>
      <sheetName val="OILPROC"/>
    </sheetNames>
    <sheetDataSet>
      <sheetData sheetId="0"/>
      <sheetData sheetId="1">
        <row r="6">
          <cell r="AC6">
            <v>38814.279999999992</v>
          </cell>
          <cell r="AD6">
            <v>37453.699999999997</v>
          </cell>
          <cell r="AE6">
            <v>34532.019634202588</v>
          </cell>
          <cell r="AF6">
            <v>34580.320421769116</v>
          </cell>
          <cell r="AG6">
            <v>32646.400000000001</v>
          </cell>
          <cell r="AH6">
            <v>30147.4</v>
          </cell>
          <cell r="AI6">
            <v>29052.201000000001</v>
          </cell>
          <cell r="AJ6">
            <v>28453.311134772979</v>
          </cell>
          <cell r="AK6">
            <v>27639.428588181108</v>
          </cell>
          <cell r="AL6">
            <v>27068.232788814184</v>
          </cell>
          <cell r="AM6">
            <v>26592.944343339463</v>
          </cell>
          <cell r="AN6">
            <v>27391.540145878393</v>
          </cell>
          <cell r="AO6">
            <v>27282.867562008782</v>
          </cell>
        </row>
        <row r="29">
          <cell r="AC29">
            <v>30490.32</v>
          </cell>
          <cell r="AD29">
            <v>35616.51</v>
          </cell>
          <cell r="AE29">
            <v>37140.9</v>
          </cell>
          <cell r="AF29">
            <v>43867.39</v>
          </cell>
          <cell r="AG29">
            <v>46737.1</v>
          </cell>
          <cell r="AH29">
            <v>48497.200000000004</v>
          </cell>
          <cell r="AI29">
            <v>50339.394999999997</v>
          </cell>
          <cell r="AJ29">
            <v>50386.594706224874</v>
          </cell>
          <cell r="AK29">
            <v>48437.023360913896</v>
          </cell>
          <cell r="AL29">
            <v>47923.707334798135</v>
          </cell>
          <cell r="AM29">
            <v>45666.718439515178</v>
          </cell>
          <cell r="AN29">
            <v>48062.581116493602</v>
          </cell>
          <cell r="AO29">
            <v>48054.080790423759</v>
          </cell>
        </row>
        <row r="47">
          <cell r="AC47">
            <v>19194.309999999998</v>
          </cell>
          <cell r="AD47">
            <v>24481.300000000003</v>
          </cell>
          <cell r="AE47">
            <v>26455.03</v>
          </cell>
          <cell r="AF47">
            <v>32578.34</v>
          </cell>
          <cell r="AG47">
            <v>34955.5</v>
          </cell>
          <cell r="AH47">
            <v>36414.400000000009</v>
          </cell>
          <cell r="AI47">
            <v>38608.100000000006</v>
          </cell>
          <cell r="AJ47">
            <v>38644.05050658156</v>
          </cell>
          <cell r="AK47">
            <v>38008.428767662466</v>
          </cell>
          <cell r="AL47">
            <v>36657.650210300919</v>
          </cell>
          <cell r="AM47">
            <v>34533.248990308042</v>
          </cell>
          <cell r="AN47">
            <v>36984.916814658012</v>
          </cell>
          <cell r="AO47">
            <v>36528.805814658015</v>
          </cell>
        </row>
      </sheetData>
      <sheetData sheetId="2"/>
      <sheetData sheetId="3"/>
      <sheetData sheetId="4">
        <row r="7">
          <cell r="AD7">
            <v>5543.7525000000005</v>
          </cell>
          <cell r="AE7">
            <v>5660.7639999999992</v>
          </cell>
          <cell r="AF7">
            <v>5414.1</v>
          </cell>
          <cell r="AG7">
            <v>6220.59</v>
          </cell>
          <cell r="AH7">
            <v>5810.3000000000011</v>
          </cell>
          <cell r="AI7">
            <v>5996.6370000000006</v>
          </cell>
          <cell r="AJ7">
            <v>5331.7919999999995</v>
          </cell>
          <cell r="AK7">
            <v>5944.8580000000011</v>
          </cell>
          <cell r="AL7">
            <v>5610.6759999999995</v>
          </cell>
          <cell r="AM7">
            <v>6093.0449999999983</v>
          </cell>
          <cell r="AN7">
            <v>5610.6759999999995</v>
          </cell>
          <cell r="AO7">
            <v>6093.0449999999983</v>
          </cell>
          <cell r="AP7">
            <v>6093.0449999999983</v>
          </cell>
        </row>
        <row r="8">
          <cell r="AD8">
            <v>1185.5999999999999</v>
          </cell>
          <cell r="AE8">
            <v>1161.4000000000001</v>
          </cell>
          <cell r="AF8">
            <v>1166.76</v>
          </cell>
          <cell r="AG8">
            <v>1265.52</v>
          </cell>
          <cell r="AH8">
            <v>1282.75</v>
          </cell>
          <cell r="AI8">
            <v>1464.35</v>
          </cell>
          <cell r="AJ8">
            <v>1248.4519999999998</v>
          </cell>
          <cell r="AK8">
            <v>1468.4090000000001</v>
          </cell>
          <cell r="AL8">
            <v>1430.614</v>
          </cell>
          <cell r="AM8">
            <v>1588.8630000000001</v>
          </cell>
          <cell r="AN8">
            <v>1430.614</v>
          </cell>
          <cell r="AO8">
            <v>1588.8630000000001</v>
          </cell>
          <cell r="AP8">
            <v>1588.8630000000001</v>
          </cell>
        </row>
        <row r="9">
          <cell r="AD9">
            <v>204.6</v>
          </cell>
          <cell r="AE9">
            <v>246.8</v>
          </cell>
          <cell r="AF9">
            <v>217.06</v>
          </cell>
          <cell r="AG9">
            <v>377.76</v>
          </cell>
          <cell r="AH9">
            <v>275.56</v>
          </cell>
          <cell r="AI9">
            <v>267.72700000000003</v>
          </cell>
          <cell r="AJ9">
            <v>191.27200000000002</v>
          </cell>
          <cell r="AK9">
            <v>167.21600000000001</v>
          </cell>
          <cell r="AL9">
            <v>159.92500000000001</v>
          </cell>
          <cell r="AM9">
            <v>160.6</v>
          </cell>
          <cell r="AN9">
            <v>159.92500000000001</v>
          </cell>
          <cell r="AO9">
            <v>160.6</v>
          </cell>
          <cell r="AP9">
            <v>160.6</v>
          </cell>
        </row>
        <row r="10">
          <cell r="AD10">
            <v>1921.8</v>
          </cell>
          <cell r="AE10">
            <v>2080.21</v>
          </cell>
          <cell r="AF10">
            <v>2032.32</v>
          </cell>
          <cell r="AG10">
            <v>2395.84</v>
          </cell>
          <cell r="AH10">
            <v>2040.06</v>
          </cell>
          <cell r="AI10">
            <v>2311.38</v>
          </cell>
          <cell r="AJ10">
            <v>2060.585</v>
          </cell>
          <cell r="AK10">
            <v>2446.5360000000001</v>
          </cell>
          <cell r="AL10">
            <v>2306.1329999999998</v>
          </cell>
          <cell r="AM10">
            <v>2529.288</v>
          </cell>
          <cell r="AN10">
            <v>2306.1329999999998</v>
          </cell>
          <cell r="AO10">
            <v>2529.288</v>
          </cell>
          <cell r="AP10">
            <v>2529.288</v>
          </cell>
        </row>
        <row r="13">
          <cell r="AD13">
            <v>617</v>
          </cell>
          <cell r="AE13">
            <v>591.13</v>
          </cell>
          <cell r="AF13">
            <v>502.24</v>
          </cell>
          <cell r="AG13">
            <v>491.80000000000007</v>
          </cell>
          <cell r="AH13">
            <v>563.66999999999996</v>
          </cell>
          <cell r="AI13">
            <v>594.13099999999997</v>
          </cell>
          <cell r="AJ13">
            <v>589.15899999999999</v>
          </cell>
          <cell r="AK13">
            <v>609.33500000000004</v>
          </cell>
          <cell r="AL13">
            <v>572.76800000000003</v>
          </cell>
          <cell r="AM13">
            <v>607.99900000000002</v>
          </cell>
          <cell r="AN13">
            <v>572.76800000000003</v>
          </cell>
          <cell r="AO13">
            <v>607.99900000000002</v>
          </cell>
          <cell r="AP13">
            <v>607.99900000000002</v>
          </cell>
        </row>
        <row r="14">
          <cell r="AD14">
            <v>106.57</v>
          </cell>
          <cell r="AE14">
            <v>126.46</v>
          </cell>
          <cell r="AF14">
            <v>61.6</v>
          </cell>
          <cell r="AG14">
            <v>106.25</v>
          </cell>
          <cell r="AH14">
            <v>77.77</v>
          </cell>
          <cell r="AI14">
            <v>4.74</v>
          </cell>
          <cell r="AJ14">
            <v>26.672000000000001</v>
          </cell>
          <cell r="AK14">
            <v>108.36199999999999</v>
          </cell>
          <cell r="AL14">
            <v>84.728999999999999</v>
          </cell>
          <cell r="AM14">
            <v>80</v>
          </cell>
          <cell r="AN14">
            <v>84.728999999999999</v>
          </cell>
          <cell r="AO14">
            <v>80</v>
          </cell>
          <cell r="AP14">
            <v>80</v>
          </cell>
        </row>
        <row r="15">
          <cell r="AD15">
            <v>243.95599999999999</v>
          </cell>
          <cell r="AE15">
            <v>238.44</v>
          </cell>
          <cell r="AF15">
            <v>196.92</v>
          </cell>
          <cell r="AG15">
            <v>256.2</v>
          </cell>
          <cell r="AH15">
            <v>209.57</v>
          </cell>
          <cell r="AI15">
            <v>231.655</v>
          </cell>
          <cell r="AJ15">
            <v>183.34100000000001</v>
          </cell>
          <cell r="AK15">
            <v>181.33699999999999</v>
          </cell>
          <cell r="AL15">
            <v>141.755</v>
          </cell>
          <cell r="AM15">
            <v>158.708</v>
          </cell>
          <cell r="AN15">
            <v>141.755</v>
          </cell>
          <cell r="AO15">
            <v>158.708</v>
          </cell>
          <cell r="AP15">
            <v>158.708</v>
          </cell>
        </row>
        <row r="17">
          <cell r="AD17">
            <v>289.67</v>
          </cell>
          <cell r="AE17">
            <v>260.08</v>
          </cell>
          <cell r="AF17">
            <v>374.72</v>
          </cell>
          <cell r="AG17">
            <v>362.2</v>
          </cell>
          <cell r="AH17">
            <v>342.63</v>
          </cell>
          <cell r="AI17">
            <v>277.81600000000003</v>
          </cell>
          <cell r="AJ17">
            <v>264.952</v>
          </cell>
          <cell r="AK17">
            <v>285.50200000000001</v>
          </cell>
          <cell r="AL17">
            <v>294.70999999999998</v>
          </cell>
          <cell r="AM17">
            <v>302.17200000000003</v>
          </cell>
          <cell r="AN17">
            <v>294.70999999999998</v>
          </cell>
          <cell r="AO17">
            <v>302.17200000000003</v>
          </cell>
          <cell r="AP17">
            <v>302.17200000000003</v>
          </cell>
        </row>
        <row r="18">
          <cell r="AD18">
            <v>34.75</v>
          </cell>
          <cell r="AE18">
            <v>32.549999999999997</v>
          </cell>
          <cell r="AF18">
            <v>36.31</v>
          </cell>
          <cell r="AG18">
            <v>19.060000000000002</v>
          </cell>
          <cell r="AH18">
            <v>0</v>
          </cell>
          <cell r="AI18">
            <v>3.39</v>
          </cell>
          <cell r="AJ18"/>
          <cell r="AK18"/>
          <cell r="AL18"/>
          <cell r="AM18"/>
          <cell r="AN18"/>
          <cell r="AO18"/>
          <cell r="AP18"/>
        </row>
        <row r="19">
          <cell r="AD19">
            <v>50.93</v>
          </cell>
          <cell r="AE19">
            <v>22.908999999999999</v>
          </cell>
          <cell r="AF19">
            <v>23.22</v>
          </cell>
          <cell r="AG19">
            <v>35.96</v>
          </cell>
          <cell r="AH19">
            <v>12.49</v>
          </cell>
          <cell r="AI19">
            <v>8.9239999999999995</v>
          </cell>
          <cell r="AJ19">
            <v>12.178999999999998</v>
          </cell>
          <cell r="AK19"/>
          <cell r="AL19"/>
          <cell r="AM19"/>
          <cell r="AN19"/>
          <cell r="AO19"/>
          <cell r="AP19"/>
        </row>
        <row r="21">
          <cell r="AD21">
            <v>53.6</v>
          </cell>
          <cell r="AE21">
            <v>54.265000000000001</v>
          </cell>
          <cell r="AF21">
            <v>49.98</v>
          </cell>
          <cell r="AG21">
            <v>58.77</v>
          </cell>
          <cell r="AH21">
            <v>49.2</v>
          </cell>
          <cell r="AI21">
            <v>46.286999999999999</v>
          </cell>
          <cell r="AJ21">
            <v>39.150000000000006</v>
          </cell>
          <cell r="AK21">
            <v>66.658000000000001</v>
          </cell>
          <cell r="AL21">
            <v>72.123999999999995</v>
          </cell>
          <cell r="AM21">
            <v>79.262</v>
          </cell>
          <cell r="AN21">
            <v>72.123999999999995</v>
          </cell>
          <cell r="AO21">
            <v>79.262</v>
          </cell>
          <cell r="AP21">
            <v>79.262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"/>
      <sheetName val="eq"/>
      <sheetName val="2.2 VAR"/>
      <sheetName val="2.3"/>
      <sheetName val="3.1"/>
      <sheetName val="3.2. VAR"/>
      <sheetName val="3.3."/>
      <sheetName val="3.4. var"/>
      <sheetName val="3.5."/>
      <sheetName val="3.6. VAR"/>
      <sheetName val="3.7. VAR"/>
      <sheetName val="3.8. VAR"/>
      <sheetName val="3.9."/>
      <sheetName val="3.11. VAR"/>
      <sheetName val="3.12."/>
      <sheetName val="3.13. VAR"/>
      <sheetName val="3.14."/>
      <sheetName val="3.15. VAR"/>
      <sheetName val="3.16."/>
      <sheetName val="3.17. VAR"/>
      <sheetName val="3.18."/>
      <sheetName val="3.19. VAR"/>
      <sheetName val="3.20."/>
      <sheetName val="3.21. VAR"/>
      <sheetName val="3.22."/>
      <sheetName val="3.23."/>
      <sheetName val="3.24."/>
      <sheetName val="4."/>
      <sheetName val="5."/>
    </sheetNames>
    <sheetDataSet>
      <sheetData sheetId="0"/>
      <sheetData sheetId="1"/>
      <sheetData sheetId="2">
        <row r="15">
          <cell r="T15">
            <v>3566</v>
          </cell>
          <cell r="U15">
            <v>3348.5</v>
          </cell>
          <cell r="V15">
            <v>3174.7</v>
          </cell>
          <cell r="W15">
            <v>2729.3</v>
          </cell>
          <cell r="X15">
            <v>2660.9300000000003</v>
          </cell>
          <cell r="Y15">
            <v>3052.5898632448943</v>
          </cell>
          <cell r="Z15">
            <v>3230.0291305877163</v>
          </cell>
          <cell r="AA15">
            <v>2653.8221749432169</v>
          </cell>
          <cell r="AB15">
            <v>4992.5069378050266</v>
          </cell>
          <cell r="AC15">
            <v>4258.4786801289865</v>
          </cell>
          <cell r="AD15">
            <v>4177.9531403444016</v>
          </cell>
        </row>
        <row r="17">
          <cell r="T17">
            <v>2714.2613000000001</v>
          </cell>
          <cell r="U17">
            <v>2677.4268999999999</v>
          </cell>
          <cell r="V17">
            <v>2503</v>
          </cell>
          <cell r="W17">
            <v>2136.71</v>
          </cell>
          <cell r="X17">
            <v>239.89</v>
          </cell>
          <cell r="Y17">
            <v>8926.9814334627918</v>
          </cell>
          <cell r="Z17">
            <v>20872.32</v>
          </cell>
          <cell r="AA17">
            <v>20872.32</v>
          </cell>
          <cell r="AB17">
            <v>20872.32</v>
          </cell>
          <cell r="AC17">
            <v>40777.928469869104</v>
          </cell>
          <cell r="AD17">
            <v>27094.223798252224</v>
          </cell>
        </row>
        <row r="18">
          <cell r="R18">
            <v>0.2233</v>
          </cell>
          <cell r="S18">
            <v>0.18490000000000001</v>
          </cell>
        </row>
        <row r="19">
          <cell r="R19">
            <v>5.6083999999999996</v>
          </cell>
          <cell r="S19">
            <v>4.3532000000000002</v>
          </cell>
        </row>
      </sheetData>
      <sheetData sheetId="3">
        <row r="13">
          <cell r="R13">
            <v>201.53899999999999</v>
          </cell>
          <cell r="S13">
            <v>203.6114</v>
          </cell>
          <cell r="T13">
            <v>146.23400000000001</v>
          </cell>
          <cell r="U13">
            <v>170.595</v>
          </cell>
          <cell r="V13">
            <v>170.667</v>
          </cell>
          <cell r="W13">
            <v>123.59399999999999</v>
          </cell>
          <cell r="X13">
            <v>250.0445</v>
          </cell>
          <cell r="Y13">
            <v>231.4</v>
          </cell>
          <cell r="Z13">
            <v>231.4</v>
          </cell>
          <cell r="AA13">
            <v>231.4</v>
          </cell>
          <cell r="AB13">
            <v>231.4</v>
          </cell>
          <cell r="AC13">
            <v>231.4</v>
          </cell>
          <cell r="AD13">
            <v>231.4</v>
          </cell>
        </row>
        <row r="14">
          <cell r="R14">
            <v>270.4545</v>
          </cell>
          <cell r="S14">
            <v>314.22430000000003</v>
          </cell>
          <cell r="T14">
            <v>297.59440000000001</v>
          </cell>
          <cell r="U14">
            <v>417.8922</v>
          </cell>
          <cell r="V14">
            <v>369.52370000000002</v>
          </cell>
          <cell r="W14">
            <v>596.94809999999995</v>
          </cell>
          <cell r="X14">
            <v>566.64094999999998</v>
          </cell>
          <cell r="Y14">
            <v>604.60714136520915</v>
          </cell>
          <cell r="Z14">
            <v>604.60714136520915</v>
          </cell>
          <cell r="AA14">
            <v>604.60714136520915</v>
          </cell>
          <cell r="AB14">
            <v>604.60714136520915</v>
          </cell>
          <cell r="AC14">
            <v>604.60714136520915</v>
          </cell>
          <cell r="AD14">
            <v>604.60714136520915</v>
          </cell>
        </row>
        <row r="15">
          <cell r="R15">
            <v>7.3311999999999999</v>
          </cell>
          <cell r="S15">
            <v>28.888500000000001</v>
          </cell>
        </row>
        <row r="16">
          <cell r="T16">
            <v>1161.2488999999998</v>
          </cell>
          <cell r="U16">
            <v>1775.5373</v>
          </cell>
          <cell r="V16">
            <v>1276.1639</v>
          </cell>
          <cell r="W16">
            <v>1414.2303999999999</v>
          </cell>
          <cell r="X16">
            <v>1501.6291000000001</v>
          </cell>
          <cell r="Y16">
            <v>1734.4235554469276</v>
          </cell>
          <cell r="Z16">
            <v>1734.4235554469276</v>
          </cell>
          <cell r="AA16">
            <v>1734.4235554469276</v>
          </cell>
          <cell r="AB16">
            <v>1734.4235554469276</v>
          </cell>
          <cell r="AC16">
            <v>1734.4235554469276</v>
          </cell>
          <cell r="AD16">
            <v>1734.4235554469276</v>
          </cell>
        </row>
        <row r="17">
          <cell r="T17">
            <v>1471.2591</v>
          </cell>
          <cell r="U17">
            <v>2990.5345000000002</v>
          </cell>
          <cell r="V17">
            <v>2314.1052</v>
          </cell>
          <cell r="W17">
            <v>2469.402</v>
          </cell>
          <cell r="X17">
            <v>4057.8321000000001</v>
          </cell>
          <cell r="Y17">
            <v>4423.0269836607213</v>
          </cell>
          <cell r="Z17">
            <v>4423.0269836607213</v>
          </cell>
          <cell r="AA17">
            <v>4423.0269836607213</v>
          </cell>
          <cell r="AB17">
            <v>4423.0269836607213</v>
          </cell>
          <cell r="AC17">
            <v>4423.0269836607213</v>
          </cell>
          <cell r="AD17">
            <v>4423.0269836607213</v>
          </cell>
        </row>
      </sheetData>
      <sheetData sheetId="4"/>
      <sheetData sheetId="5">
        <row r="21">
          <cell r="R21">
            <v>23757.4</v>
          </cell>
          <cell r="S21">
            <v>26812.7</v>
          </cell>
          <cell r="T21">
            <v>26212.3</v>
          </cell>
          <cell r="U21">
            <v>35283.9</v>
          </cell>
          <cell r="V21">
            <v>37822.01</v>
          </cell>
          <cell r="W21">
            <v>42539.6</v>
          </cell>
          <cell r="X21">
            <v>49863.8</v>
          </cell>
          <cell r="Y21">
            <v>52146.006941</v>
          </cell>
          <cell r="Z21">
            <v>54240.18823734</v>
          </cell>
          <cell r="AA21">
            <v>56091.993972570199</v>
          </cell>
          <cell r="AB21">
            <v>58036.938219857308</v>
          </cell>
          <cell r="AC21">
            <v>60079.627054563025</v>
          </cell>
          <cell r="AD21">
            <v>53022.07231856302</v>
          </cell>
        </row>
        <row r="22">
          <cell r="R22">
            <v>873.9</v>
          </cell>
          <cell r="S22">
            <v>1046.8</v>
          </cell>
        </row>
        <row r="23">
          <cell r="R23">
            <v>677</v>
          </cell>
          <cell r="S23">
            <v>745</v>
          </cell>
        </row>
        <row r="24">
          <cell r="R24">
            <v>858.9</v>
          </cell>
          <cell r="S24">
            <v>2213.6999999999998</v>
          </cell>
          <cell r="T24">
            <v>1716.6000000000001</v>
          </cell>
          <cell r="U24">
            <v>1782.2</v>
          </cell>
          <cell r="V24">
            <v>1606.3</v>
          </cell>
          <cell r="W24">
            <v>1438.7</v>
          </cell>
          <cell r="X24">
            <v>1504.4</v>
          </cell>
          <cell r="Y24">
            <v>1616.572942</v>
          </cell>
          <cell r="Z24">
            <v>1680.0031524000003</v>
          </cell>
          <cell r="AA24">
            <v>1722.4026048800001</v>
          </cell>
          <cell r="AB24">
            <v>1794.882347856</v>
          </cell>
          <cell r="AC24">
            <v>1851.8575594272002</v>
          </cell>
          <cell r="AD24">
            <v>1828.2015594272002</v>
          </cell>
        </row>
        <row r="26">
          <cell r="T26">
            <v>50.3</v>
          </cell>
          <cell r="U26">
            <v>33.5</v>
          </cell>
          <cell r="V26">
            <v>95.9</v>
          </cell>
          <cell r="W26">
            <v>331.9</v>
          </cell>
          <cell r="X26">
            <v>758.6</v>
          </cell>
          <cell r="Y26">
            <v>853.73998800000004</v>
          </cell>
          <cell r="Z26">
            <v>871.18345360000012</v>
          </cell>
          <cell r="AA26">
            <v>874.14913232000004</v>
          </cell>
          <cell r="AB26">
            <v>877.38794678399995</v>
          </cell>
          <cell r="AC26">
            <v>882.00452414080007</v>
          </cell>
          <cell r="AD26">
            <v>929.3105241408</v>
          </cell>
        </row>
        <row r="27">
          <cell r="T27">
            <v>5446.3</v>
          </cell>
          <cell r="U27">
            <v>4671.4000000000005</v>
          </cell>
          <cell r="V27">
            <v>4671.8</v>
          </cell>
          <cell r="W27">
            <v>5171.6000000000004</v>
          </cell>
          <cell r="X27">
            <v>5312.9</v>
          </cell>
          <cell r="Y27">
            <v>5414.9919877093662</v>
          </cell>
          <cell r="Z27">
            <v>5520.0839754187346</v>
          </cell>
          <cell r="AA27">
            <v>5700.9313222827977</v>
          </cell>
          <cell r="AB27">
            <v>5949.7198883969377</v>
          </cell>
          <cell r="AC27">
            <v>5980.7198883969377</v>
          </cell>
          <cell r="AD27">
            <v>5875.3598883969389</v>
          </cell>
        </row>
        <row r="29">
          <cell r="T29">
            <v>490.1</v>
          </cell>
          <cell r="U29">
            <v>601.20000000000005</v>
          </cell>
          <cell r="V29">
            <v>602.20000000000005</v>
          </cell>
          <cell r="W29">
            <v>568.1</v>
          </cell>
          <cell r="X29">
            <v>445.2</v>
          </cell>
          <cell r="Y29">
            <v>462.49456399999997</v>
          </cell>
          <cell r="Z29">
            <v>479.76484079999994</v>
          </cell>
          <cell r="AA29">
            <v>497.48917295999996</v>
          </cell>
          <cell r="AB29">
            <v>517.95837155200002</v>
          </cell>
          <cell r="AC29">
            <v>537.02140986239988</v>
          </cell>
          <cell r="AD29">
            <v>526.43040986239998</v>
          </cell>
        </row>
        <row r="30">
          <cell r="T30">
            <v>84.2</v>
          </cell>
          <cell r="U30">
            <v>13.3</v>
          </cell>
          <cell r="V30">
            <v>59.6</v>
          </cell>
          <cell r="W30">
            <v>112.4</v>
          </cell>
          <cell r="X30">
            <v>96</v>
          </cell>
          <cell r="Y30">
            <v>102.443</v>
          </cell>
          <cell r="Z30">
            <v>98.536000000000001</v>
          </cell>
          <cell r="AA30">
            <v>100.536</v>
          </cell>
          <cell r="AB30">
            <v>101.536</v>
          </cell>
          <cell r="AC30">
            <v>102.536</v>
          </cell>
          <cell r="AD30">
            <v>110.13964864100822</v>
          </cell>
        </row>
        <row r="31">
          <cell r="T31">
            <v>136.1</v>
          </cell>
          <cell r="U31">
            <v>122.6</v>
          </cell>
          <cell r="V31">
            <v>131.5</v>
          </cell>
          <cell r="W31">
            <v>134.1</v>
          </cell>
          <cell r="X31">
            <v>145.1</v>
          </cell>
          <cell r="Y31">
            <v>164.38699999999997</v>
          </cell>
          <cell r="Z31">
            <v>151.80099999999999</v>
          </cell>
          <cell r="AA31">
            <v>151.80099999999999</v>
          </cell>
          <cell r="AB31">
            <v>151.80099999999999</v>
          </cell>
          <cell r="AC31">
            <v>151.80099999999999</v>
          </cell>
          <cell r="AD31">
            <v>146.20099999999999</v>
          </cell>
        </row>
        <row r="32">
          <cell r="T32">
            <v>183.2</v>
          </cell>
          <cell r="U32">
            <v>175</v>
          </cell>
          <cell r="V32">
            <v>145.4</v>
          </cell>
          <cell r="W32">
            <v>204.9</v>
          </cell>
          <cell r="X32">
            <v>178.1</v>
          </cell>
          <cell r="Y32">
            <v>60.911764999999988</v>
          </cell>
          <cell r="Z32">
            <v>66.157082999999986</v>
          </cell>
          <cell r="AA32">
            <v>69.651464599999983</v>
          </cell>
          <cell r="AB32">
            <v>75.444722519999985</v>
          </cell>
          <cell r="AC32">
            <v>78.596632023999973</v>
          </cell>
          <cell r="AD32">
            <v>198.74663202399998</v>
          </cell>
        </row>
        <row r="33">
          <cell r="T33">
            <v>373.6</v>
          </cell>
          <cell r="U33">
            <v>405.2</v>
          </cell>
          <cell r="V33">
            <v>197.5</v>
          </cell>
          <cell r="W33">
            <v>46.6</v>
          </cell>
          <cell r="X33">
            <v>42.6</v>
          </cell>
          <cell r="Y33">
            <v>46.608994508062629</v>
          </cell>
          <cell r="Z33">
            <v>44.177962140687072</v>
          </cell>
          <cell r="AA33">
            <v>45.422411778452904</v>
          </cell>
          <cell r="AB33">
            <v>46.044636597335817</v>
          </cell>
          <cell r="AC33">
            <v>46.666861416218737</v>
          </cell>
          <cell r="AD33">
            <v>43.102617450438352</v>
          </cell>
        </row>
        <row r="34">
          <cell r="T34">
            <v>0.4</v>
          </cell>
          <cell r="U34">
            <v>0.6</v>
          </cell>
          <cell r="V34">
            <v>1.1000000000000001</v>
          </cell>
          <cell r="W34">
            <v>29.4</v>
          </cell>
          <cell r="X34">
            <v>48.6</v>
          </cell>
          <cell r="Y34">
            <v>3</v>
          </cell>
          <cell r="Z34">
            <v>3.2</v>
          </cell>
          <cell r="AA34">
            <v>3.4</v>
          </cell>
          <cell r="AB34">
            <v>3.6</v>
          </cell>
          <cell r="AC34">
            <v>3.8</v>
          </cell>
          <cell r="AD34">
            <v>2.75</v>
          </cell>
        </row>
      </sheetData>
      <sheetData sheetId="6">
        <row r="9">
          <cell r="R9">
            <v>3501.7</v>
          </cell>
          <cell r="S9">
            <v>4621.2</v>
          </cell>
          <cell r="T9">
            <v>4154</v>
          </cell>
          <cell r="U9">
            <v>4079</v>
          </cell>
          <cell r="V9">
            <v>3889.6</v>
          </cell>
          <cell r="W9">
            <v>1967.3</v>
          </cell>
          <cell r="X9">
            <v>3804.9</v>
          </cell>
          <cell r="Y9">
            <v>4402.85466923077</v>
          </cell>
          <cell r="Z9">
            <v>3796.4706830769233</v>
          </cell>
          <cell r="AA9">
            <v>3824.8025538461543</v>
          </cell>
          <cell r="AB9">
            <v>3869.0564676923091</v>
          </cell>
          <cell r="AC9">
            <v>3943.9251923076931</v>
          </cell>
          <cell r="AD9">
            <v>3943.9251923076931</v>
          </cell>
        </row>
        <row r="10">
          <cell r="R10">
            <v>4949.7</v>
          </cell>
          <cell r="S10">
            <v>9528.8225000000002</v>
          </cell>
          <cell r="T10">
            <v>11208.1</v>
          </cell>
          <cell r="U10">
            <v>15302</v>
          </cell>
          <cell r="V10">
            <v>13299.19</v>
          </cell>
          <cell r="W10">
            <v>16010.86</v>
          </cell>
          <cell r="X10">
            <v>15192.27</v>
          </cell>
          <cell r="Y10">
            <v>15896.957</v>
          </cell>
          <cell r="Z10">
            <v>16706.900000000001</v>
          </cell>
          <cell r="AA10">
            <v>17233.224000000002</v>
          </cell>
          <cell r="AB10">
            <v>17795.753000000001</v>
          </cell>
          <cell r="AC10">
            <v>18353.261999999999</v>
          </cell>
          <cell r="AD10">
            <v>17877.138999999999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15">
          <cell r="T15">
            <v>131.42310000000001</v>
          </cell>
          <cell r="U15">
            <v>163.27610000000001</v>
          </cell>
          <cell r="V15">
            <v>134.29294200000001</v>
          </cell>
          <cell r="W15">
            <v>162.77000000000001</v>
          </cell>
          <cell r="X15">
            <v>121.71</v>
          </cell>
          <cell r="Y15">
            <v>133.92184399999999</v>
          </cell>
          <cell r="Z15">
            <v>122.477</v>
          </cell>
          <cell r="AA15">
            <v>123.521</v>
          </cell>
          <cell r="AB15">
            <v>122.88</v>
          </cell>
          <cell r="AC15">
            <v>122.50700000000001</v>
          </cell>
          <cell r="AD15">
            <v>92.009785078868205</v>
          </cell>
        </row>
        <row r="16">
          <cell r="T16">
            <v>91.9709</v>
          </cell>
          <cell r="U16">
            <v>136.71449999999999</v>
          </cell>
          <cell r="V16">
            <v>127.67957</v>
          </cell>
          <cell r="W16">
            <v>153.03</v>
          </cell>
          <cell r="X16">
            <v>124.23</v>
          </cell>
          <cell r="Y16">
            <v>124.54863800000001</v>
          </cell>
          <cell r="Z16">
            <v>125.455</v>
          </cell>
          <cell r="AA16">
            <v>130.61500000000001</v>
          </cell>
          <cell r="AB16">
            <v>125.762</v>
          </cell>
          <cell r="AC16">
            <v>130.05000000000001</v>
          </cell>
          <cell r="AD16">
            <v>109.51198240349011</v>
          </cell>
        </row>
        <row r="17">
          <cell r="R17">
            <v>188.91470000000001</v>
          </cell>
          <cell r="S17">
            <v>383.01749999999998</v>
          </cell>
          <cell r="T17">
            <v>476.63729999999998</v>
          </cell>
          <cell r="U17">
            <v>378.05599999999998</v>
          </cell>
          <cell r="V17">
            <v>534.5</v>
          </cell>
          <cell r="W17">
            <v>494.59</v>
          </cell>
          <cell r="X17">
            <v>516.51</v>
          </cell>
          <cell r="Y17">
            <v>447.45800000000003</v>
          </cell>
          <cell r="Z17">
            <v>480.572</v>
          </cell>
          <cell r="AA17">
            <v>480.572</v>
          </cell>
          <cell r="AB17">
            <v>516.12</v>
          </cell>
          <cell r="AC17">
            <v>516.12</v>
          </cell>
          <cell r="AD17">
            <v>480.572</v>
          </cell>
        </row>
        <row r="18">
          <cell r="R18">
            <v>84.978399999999993</v>
          </cell>
          <cell r="S18">
            <v>105.482</v>
          </cell>
          <cell r="T18">
            <v>130.39949999999999</v>
          </cell>
          <cell r="U18">
            <v>177.16720000000001</v>
          </cell>
          <cell r="V18">
            <v>133.50324000000001</v>
          </cell>
          <cell r="W18">
            <v>149.09</v>
          </cell>
          <cell r="X18">
            <v>119.48</v>
          </cell>
          <cell r="Y18">
            <v>98.018513999999996</v>
          </cell>
          <cell r="Z18">
            <v>90.11184784999999</v>
          </cell>
          <cell r="AA18">
            <v>91.058376075000012</v>
          </cell>
          <cell r="AB18">
            <v>90.583604174999991</v>
          </cell>
          <cell r="AC18">
            <v>90.015282075000016</v>
          </cell>
          <cell r="AD18">
            <v>73.653000000000006</v>
          </cell>
        </row>
        <row r="19">
          <cell r="R19">
            <v>56.176000000000002</v>
          </cell>
          <cell r="S19">
            <v>87.550700000000006</v>
          </cell>
          <cell r="T19">
            <v>97.549800000000005</v>
          </cell>
          <cell r="U19">
            <v>136.99680000000001</v>
          </cell>
          <cell r="V19">
            <v>128.73784000000001</v>
          </cell>
          <cell r="W19">
            <v>152.38</v>
          </cell>
          <cell r="X19">
            <v>120.66</v>
          </cell>
          <cell r="Y19">
            <v>125.81777700000001</v>
          </cell>
          <cell r="Z19">
            <v>120.13214128</v>
          </cell>
          <cell r="AA19">
            <v>125.01984213999999</v>
          </cell>
          <cell r="AB19">
            <v>120.36767378</v>
          </cell>
          <cell r="AC19">
            <v>124.49736214000001</v>
          </cell>
          <cell r="AD19">
            <v>105.83499999999999</v>
          </cell>
        </row>
        <row r="21">
          <cell r="R21">
            <v>8.1999999999999993</v>
          </cell>
          <cell r="S21">
            <v>90.7</v>
          </cell>
          <cell r="T21">
            <v>158.4</v>
          </cell>
          <cell r="U21">
            <v>40.700000000000003</v>
          </cell>
          <cell r="V21">
            <v>15.7</v>
          </cell>
          <cell r="W21">
            <v>73.349999999999994</v>
          </cell>
          <cell r="X21">
            <v>38.78</v>
          </cell>
          <cell r="Y21">
            <v>65.55</v>
          </cell>
          <cell r="Z21">
            <v>65.55</v>
          </cell>
          <cell r="AA21">
            <v>65.55</v>
          </cell>
          <cell r="AB21">
            <v>65.55</v>
          </cell>
          <cell r="AC21">
            <v>65.55</v>
          </cell>
          <cell r="AD21">
            <v>65.55</v>
          </cell>
        </row>
        <row r="22">
          <cell r="T22">
            <v>165.12130999999999</v>
          </cell>
          <cell r="U22">
            <v>355.25400000000002</v>
          </cell>
          <cell r="V22">
            <v>537.06600000000003</v>
          </cell>
          <cell r="W22">
            <v>453.58</v>
          </cell>
          <cell r="X22">
            <v>652.33000000000004</v>
          </cell>
          <cell r="Y22">
            <v>592</v>
          </cell>
          <cell r="Z22">
            <v>615</v>
          </cell>
          <cell r="AA22">
            <v>632.02200000000005</v>
          </cell>
          <cell r="AB22">
            <v>615</v>
          </cell>
          <cell r="AC22">
            <v>682.5</v>
          </cell>
          <cell r="AD22">
            <v>600</v>
          </cell>
        </row>
      </sheetData>
      <sheetData sheetId="14"/>
      <sheetData sheetId="15"/>
      <sheetData sheetId="16"/>
      <sheetData sheetId="17">
        <row r="15">
          <cell r="R15">
            <v>19.602599999999999</v>
          </cell>
          <cell r="S15">
            <v>20.423200000000001</v>
          </cell>
          <cell r="T15">
            <v>23.794300000000003</v>
          </cell>
          <cell r="U15">
            <v>31.327200000000001</v>
          </cell>
          <cell r="V15">
            <v>24.2</v>
          </cell>
          <cell r="W15">
            <v>18.32</v>
          </cell>
          <cell r="X15">
            <v>38.18</v>
          </cell>
          <cell r="Y15">
            <v>33</v>
          </cell>
          <cell r="Z15">
            <v>34</v>
          </cell>
          <cell r="AA15">
            <v>35</v>
          </cell>
          <cell r="AB15">
            <v>36</v>
          </cell>
          <cell r="AC15">
            <v>37</v>
          </cell>
          <cell r="AD15">
            <v>37</v>
          </cell>
        </row>
      </sheetData>
      <sheetData sheetId="18"/>
      <sheetData sheetId="19"/>
      <sheetData sheetId="20"/>
      <sheetData sheetId="21">
        <row r="14">
          <cell r="R14">
            <v>1242</v>
          </cell>
          <cell r="S14">
            <v>807</v>
          </cell>
          <cell r="T14">
            <v>300</v>
          </cell>
          <cell r="U14">
            <v>651</v>
          </cell>
          <cell r="V14">
            <v>588</v>
          </cell>
          <cell r="W14">
            <v>662</v>
          </cell>
          <cell r="X14">
            <v>623</v>
          </cell>
          <cell r="Y14">
            <v>655</v>
          </cell>
          <cell r="Z14">
            <v>650</v>
          </cell>
          <cell r="AA14">
            <v>700</v>
          </cell>
          <cell r="AB14">
            <v>730</v>
          </cell>
          <cell r="AC14">
            <v>680</v>
          </cell>
          <cell r="AD14">
            <v>681</v>
          </cell>
        </row>
        <row r="15">
          <cell r="R15">
            <v>31627.8</v>
          </cell>
          <cell r="S15">
            <v>32509.9</v>
          </cell>
          <cell r="T15">
            <v>32027.200000000001</v>
          </cell>
          <cell r="U15">
            <v>25067.4</v>
          </cell>
          <cell r="V15">
            <v>42703</v>
          </cell>
          <cell r="W15">
            <v>61515.5</v>
          </cell>
          <cell r="X15">
            <v>27453.3</v>
          </cell>
          <cell r="Y15">
            <v>27453.3</v>
          </cell>
          <cell r="Z15">
            <v>27453.3</v>
          </cell>
          <cell r="AA15">
            <v>27453.3</v>
          </cell>
          <cell r="AB15">
            <v>27453.3</v>
          </cell>
          <cell r="AC15">
            <v>27453.3</v>
          </cell>
          <cell r="AD15">
            <v>27453.3</v>
          </cell>
        </row>
        <row r="19">
          <cell r="R19">
            <v>4506</v>
          </cell>
          <cell r="S19">
            <v>7475</v>
          </cell>
          <cell r="T19">
            <v>4297</v>
          </cell>
          <cell r="U19">
            <v>4804</v>
          </cell>
          <cell r="V19">
            <v>5422</v>
          </cell>
          <cell r="W19">
            <v>5655</v>
          </cell>
          <cell r="X19">
            <v>6162</v>
          </cell>
          <cell r="Y19">
            <v>6300</v>
          </cell>
          <cell r="Z19">
            <v>6500</v>
          </cell>
          <cell r="AA19">
            <v>6800</v>
          </cell>
          <cell r="AB19">
            <v>7000</v>
          </cell>
          <cell r="AC19">
            <v>7200</v>
          </cell>
          <cell r="AD19">
            <v>7201</v>
          </cell>
        </row>
      </sheetData>
      <sheetData sheetId="22"/>
      <sheetData sheetId="23"/>
      <sheetData sheetId="24"/>
      <sheetData sheetId="25">
        <row r="10">
          <cell r="C10" t="str">
            <v>Zərgərlik məmulatları və qiymətli metallardan onların hissələri (qalvanik örtüklü, qızıla (gümüşə) tutulmuş metallar da daxil edilməklə)</v>
          </cell>
          <cell r="Q10">
            <v>2671.1</v>
          </cell>
          <cell r="R10">
            <v>3737.7</v>
          </cell>
          <cell r="S10">
            <v>4354.8999999999996</v>
          </cell>
          <cell r="T10">
            <v>2042.3</v>
          </cell>
          <cell r="U10">
            <v>11723.5</v>
          </cell>
          <cell r="V10">
            <v>9132.2000000000007</v>
          </cell>
          <cell r="W10">
            <v>8474.4</v>
          </cell>
          <cell r="X10">
            <v>10992</v>
          </cell>
          <cell r="Y10">
            <v>14289.6</v>
          </cell>
          <cell r="Z10">
            <v>15718.560000000001</v>
          </cell>
          <cell r="AA10">
            <v>17290.416000000001</v>
          </cell>
          <cell r="AB10">
            <v>19019.457600000002</v>
          </cell>
          <cell r="AC10">
            <v>20921.403360000004</v>
          </cell>
          <cell r="AD10">
            <v>23013.543696000008</v>
          </cell>
        </row>
      </sheetData>
      <sheetData sheetId="26">
        <row r="9">
          <cell r="R9">
            <v>25347.3</v>
          </cell>
          <cell r="S9">
            <v>58340.2</v>
          </cell>
          <cell r="T9">
            <v>62346.8</v>
          </cell>
          <cell r="U9">
            <v>964.7</v>
          </cell>
          <cell r="V9">
            <v>7754.6</v>
          </cell>
          <cell r="W9">
            <v>19148.3</v>
          </cell>
          <cell r="X9">
            <v>48758.7</v>
          </cell>
          <cell r="Y9">
            <v>46320.764999999992</v>
          </cell>
          <cell r="Z9">
            <v>48636.803249999997</v>
          </cell>
          <cell r="AA9">
            <v>51068.643412500001</v>
          </cell>
          <cell r="AB9">
            <v>54132.762017250003</v>
          </cell>
          <cell r="AC9">
            <v>56839.400118112506</v>
          </cell>
          <cell r="AD9">
            <v>59681.370124018133</v>
          </cell>
        </row>
      </sheetData>
      <sheetData sheetId="27">
        <row r="16">
          <cell r="T16">
            <v>22041</v>
          </cell>
          <cell r="U16">
            <v>23915.8</v>
          </cell>
          <cell r="V16">
            <v>24743.22</v>
          </cell>
          <cell r="W16">
            <v>24819.87</v>
          </cell>
          <cell r="X16">
            <v>22282.55</v>
          </cell>
          <cell r="Y16">
            <v>24896.029857639613</v>
          </cell>
          <cell r="Z16">
            <v>25050.47299919105</v>
          </cell>
          <cell r="AA16">
            <v>24814.205676685204</v>
          </cell>
          <cell r="AB16">
            <v>25530.167260036244</v>
          </cell>
          <cell r="AC16">
            <v>26767.757996971617</v>
          </cell>
          <cell r="AD16">
            <v>27945.539348838371</v>
          </cell>
        </row>
        <row r="18">
          <cell r="T18">
            <v>95.4</v>
          </cell>
          <cell r="U18">
            <v>90.8</v>
          </cell>
          <cell r="V18">
            <v>82.69</v>
          </cell>
          <cell r="W18">
            <v>13.24</v>
          </cell>
          <cell r="X18">
            <v>50.54</v>
          </cell>
          <cell r="Y18">
            <v>65.508205000000004</v>
          </cell>
          <cell r="Z18">
            <v>993.32698359999995</v>
          </cell>
          <cell r="AA18">
            <v>1430.6657290000001</v>
          </cell>
          <cell r="AB18">
            <v>1919.85357</v>
          </cell>
          <cell r="AC18">
            <v>1911.019587</v>
          </cell>
          <cell r="AD18">
            <v>2285.8000000000002</v>
          </cell>
        </row>
        <row r="19">
          <cell r="T19">
            <v>45.8</v>
          </cell>
          <cell r="U19">
            <v>54.5</v>
          </cell>
          <cell r="V19">
            <v>60.25</v>
          </cell>
          <cell r="W19">
            <v>79.86</v>
          </cell>
          <cell r="X19">
            <v>546.17999999999995</v>
          </cell>
          <cell r="Y19">
            <v>616.67227765879068</v>
          </cell>
          <cell r="Z19">
            <v>1496.2392719361353</v>
          </cell>
          <cell r="AA19">
            <v>2528.3834636968531</v>
          </cell>
          <cell r="AB19">
            <v>3259.852221966401</v>
          </cell>
          <cell r="AC19">
            <v>3780.0694371546033</v>
          </cell>
          <cell r="AD19">
            <v>2509.5</v>
          </cell>
        </row>
        <row r="21">
          <cell r="R21">
            <v>5587.5</v>
          </cell>
          <cell r="S21">
            <v>6234</v>
          </cell>
        </row>
        <row r="22">
          <cell r="T22">
            <v>3707.5</v>
          </cell>
          <cell r="U22">
            <v>3708.3</v>
          </cell>
          <cell r="V22">
            <v>3394.2</v>
          </cell>
          <cell r="W22">
            <v>3449.3</v>
          </cell>
          <cell r="X22">
            <v>3326.7</v>
          </cell>
          <cell r="Y22">
            <v>2868.1640000000002</v>
          </cell>
          <cell r="Z22">
            <v>2692.0039999999999</v>
          </cell>
          <cell r="AA22">
            <v>2379.9160000000002</v>
          </cell>
          <cell r="AB22">
            <v>2118.6930000000002</v>
          </cell>
          <cell r="AC22">
            <v>1873.777</v>
          </cell>
          <cell r="AD22">
            <v>2689.596</v>
          </cell>
        </row>
        <row r="25">
          <cell r="R25">
            <v>3.8998920601450919</v>
          </cell>
          <cell r="S25"/>
        </row>
      </sheetData>
      <sheetData sheetId="28">
        <row r="8">
          <cell r="R8">
            <v>38.804000000000002</v>
          </cell>
          <cell r="S8">
            <v>130.1524</v>
          </cell>
          <cell r="T8">
            <v>306.9375</v>
          </cell>
          <cell r="U8">
            <v>317.17410000000001</v>
          </cell>
          <cell r="V8">
            <v>324.1266</v>
          </cell>
          <cell r="W8">
            <v>320.67</v>
          </cell>
          <cell r="X8">
            <v>360.09399999999999</v>
          </cell>
          <cell r="Y8">
            <v>422.34582058525746</v>
          </cell>
          <cell r="Z8">
            <v>423.82756746632657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NvR"/>
      <sheetName val="N"/>
      <sheetName val="İvR"/>
      <sheetName val="eq"/>
    </sheetNames>
    <sheetDataSet>
      <sheetData sheetId="0"/>
      <sheetData sheetId="1">
        <row r="6">
          <cell r="AC6">
            <v>230144.2</v>
          </cell>
          <cell r="AD6">
            <v>235287.8</v>
          </cell>
          <cell r="AE6">
            <v>188629.3</v>
          </cell>
          <cell r="AF6">
            <v>193903.2</v>
          </cell>
          <cell r="AG6">
            <v>218715.5</v>
          </cell>
          <cell r="AH6">
            <v>229897.69999999998</v>
          </cell>
          <cell r="AI6">
            <v>238885.69999999995</v>
          </cell>
          <cell r="AJ6">
            <v>233460.39962187235</v>
          </cell>
          <cell r="AK6">
            <v>238891.03477014549</v>
          </cell>
        </row>
        <row r="7">
          <cell r="AC7">
            <v>13954.1</v>
          </cell>
          <cell r="AD7">
            <v>15221.8</v>
          </cell>
          <cell r="AE7">
            <v>14631.5</v>
          </cell>
          <cell r="AF7">
            <v>15057.6</v>
          </cell>
          <cell r="AG7">
            <v>18730.400000000001</v>
          </cell>
          <cell r="AH7">
            <v>18275.900000000001</v>
          </cell>
          <cell r="AI7">
            <v>18565.3</v>
          </cell>
          <cell r="AJ7">
            <v>18405.208999999999</v>
          </cell>
          <cell r="AK7">
            <v>20354.6299</v>
          </cell>
        </row>
        <row r="8">
          <cell r="AC8">
            <v>149344.1</v>
          </cell>
          <cell r="AD8">
            <v>155317.9</v>
          </cell>
          <cell r="AE8">
            <v>111518.3</v>
          </cell>
          <cell r="AF8">
            <v>112522</v>
          </cell>
          <cell r="AG8">
            <v>126024.6</v>
          </cell>
          <cell r="AH8">
            <v>134216.20000000001</v>
          </cell>
          <cell r="AI8">
            <v>143477.09999999998</v>
          </cell>
          <cell r="AJ8">
            <v>146953</v>
          </cell>
          <cell r="AK8">
            <v>150430</v>
          </cell>
        </row>
        <row r="9">
          <cell r="AC9">
            <v>8236.1</v>
          </cell>
          <cell r="AD9">
            <v>5968.7</v>
          </cell>
          <cell r="AE9">
            <v>5981.9</v>
          </cell>
          <cell r="AF9">
            <v>5468.4</v>
          </cell>
          <cell r="AG9">
            <v>7519.2</v>
          </cell>
          <cell r="AH9">
            <v>9010.7999999999993</v>
          </cell>
          <cell r="AI9">
            <v>8621.6</v>
          </cell>
          <cell r="AJ9">
            <v>10106.6</v>
          </cell>
          <cell r="AK9">
            <v>11260</v>
          </cell>
        </row>
        <row r="10">
          <cell r="AC10">
            <v>207.8</v>
          </cell>
          <cell r="AD10">
            <v>183.4</v>
          </cell>
          <cell r="AE10">
            <v>457.8</v>
          </cell>
          <cell r="AF10">
            <v>557.1</v>
          </cell>
          <cell r="AG10">
            <v>406.8</v>
          </cell>
          <cell r="AH10">
            <v>357.4</v>
          </cell>
          <cell r="AI10">
            <v>418.8</v>
          </cell>
          <cell r="AJ10">
            <v>420</v>
          </cell>
          <cell r="AK10">
            <v>435</v>
          </cell>
        </row>
        <row r="11">
          <cell r="AC11">
            <v>58402.100000000006</v>
          </cell>
          <cell r="AD11">
            <v>58596</v>
          </cell>
          <cell r="AE11">
            <v>56039.8</v>
          </cell>
          <cell r="AF11">
            <v>60298.1</v>
          </cell>
          <cell r="AG11">
            <v>66034.5</v>
          </cell>
          <cell r="AH11">
            <v>68037.399999999994</v>
          </cell>
          <cell r="AI11">
            <v>67802.899999999994</v>
          </cell>
          <cell r="AJ11">
            <v>57575.590621872354</v>
          </cell>
          <cell r="AK11">
            <v>56411.404870145474</v>
          </cell>
        </row>
        <row r="12">
          <cell r="AC12">
            <v>41490.9</v>
          </cell>
          <cell r="AD12">
            <v>38786.800000000003</v>
          </cell>
          <cell r="AE12">
            <v>34719.9</v>
          </cell>
          <cell r="AF12">
            <v>35018.1</v>
          </cell>
          <cell r="AG12">
            <v>37781.5</v>
          </cell>
          <cell r="AH12">
            <v>39753.199999999997</v>
          </cell>
          <cell r="AI12">
            <v>38752.1</v>
          </cell>
          <cell r="AJ12">
            <v>28497.739537343477</v>
          </cell>
          <cell r="AK12">
            <v>27811.829588181106</v>
          </cell>
        </row>
        <row r="13">
          <cell r="AC13">
            <v>31271.989999999994</v>
          </cell>
          <cell r="AD13">
            <v>29770.55</v>
          </cell>
          <cell r="AE13">
            <v>27124.809634202586</v>
          </cell>
          <cell r="AF13">
            <v>26690.420421769115</v>
          </cell>
          <cell r="AG13">
            <v>24861.100000000002</v>
          </cell>
          <cell r="AH13">
            <v>22120.9</v>
          </cell>
          <cell r="AI13">
            <v>20994.3</v>
          </cell>
          <cell r="AJ13">
            <v>20717.839537343476</v>
          </cell>
          <cell r="AK13">
            <v>20070.229588181108</v>
          </cell>
        </row>
        <row r="14">
          <cell r="AC14">
            <v>16911.2</v>
          </cell>
          <cell r="AD14">
            <v>19809.2</v>
          </cell>
          <cell r="AE14">
            <v>21319.9</v>
          </cell>
          <cell r="AF14">
            <v>25280</v>
          </cell>
          <cell r="AG14">
            <v>28253</v>
          </cell>
          <cell r="AH14">
            <v>28284.2</v>
          </cell>
          <cell r="AI14">
            <v>29050.799999999996</v>
          </cell>
          <cell r="AJ14">
            <v>29077.85108452888</v>
          </cell>
          <cell r="AK14">
            <v>28599.575281964368</v>
          </cell>
        </row>
        <row r="15">
          <cell r="AC15">
            <v>5807.3785714285696</v>
          </cell>
          <cell r="AD15">
            <v>7240.699999999998</v>
          </cell>
          <cell r="AE15">
            <v>8696.5285714285692</v>
          </cell>
          <cell r="AF15">
            <v>12748.86428571428</v>
          </cell>
          <cell r="AG15">
            <v>14201.57142857142</v>
          </cell>
          <cell r="AH15">
            <v>15443.164285714282</v>
          </cell>
          <cell r="AI15">
            <v>16254.214285714279</v>
          </cell>
          <cell r="AJ15">
            <v>16232.427555463562</v>
          </cell>
          <cell r="AK15">
            <v>15979.576262616039</v>
          </cell>
        </row>
        <row r="16">
          <cell r="AC16">
            <v>93296</v>
          </cell>
          <cell r="AD16">
            <v>89747.8</v>
          </cell>
          <cell r="AE16">
            <v>76327</v>
          </cell>
          <cell r="AF16">
            <v>78654.100000000006</v>
          </cell>
          <cell r="AG16">
            <v>90308.7</v>
          </cell>
          <cell r="AH16">
            <v>93272.7</v>
          </cell>
          <cell r="AI16">
            <v>96991.9</v>
          </cell>
          <cell r="AJ16">
            <v>109953.22348794565</v>
          </cell>
          <cell r="AK16">
            <v>112014.90436829488</v>
          </cell>
        </row>
        <row r="17">
          <cell r="AC17">
            <v>4491.8</v>
          </cell>
          <cell r="AD17">
            <v>5151.7</v>
          </cell>
          <cell r="AE17">
            <v>4861.3</v>
          </cell>
          <cell r="AF17">
            <v>5316</v>
          </cell>
          <cell r="AG17">
            <v>7097</v>
          </cell>
          <cell r="AH17">
            <v>6739.5</v>
          </cell>
          <cell r="AI17">
            <v>7027.4</v>
          </cell>
          <cell r="AJ17">
            <v>7662.451</v>
          </cell>
          <cell r="AK17">
            <v>8428.696100000001</v>
          </cell>
        </row>
        <row r="18">
          <cell r="AC18">
            <v>16856.5</v>
          </cell>
          <cell r="AD18">
            <v>17530.8</v>
          </cell>
          <cell r="AE18">
            <v>8800.5</v>
          </cell>
          <cell r="AF18">
            <v>9425.2999999999993</v>
          </cell>
          <cell r="AG18">
            <v>11602.5</v>
          </cell>
          <cell r="AH18">
            <v>12449.5</v>
          </cell>
          <cell r="AI18">
            <v>13445.5</v>
          </cell>
          <cell r="AJ18">
            <v>13900</v>
          </cell>
          <cell r="AK18">
            <v>14000</v>
          </cell>
        </row>
        <row r="19">
          <cell r="AC19">
            <v>4575.7</v>
          </cell>
          <cell r="AD19">
            <v>3350.7</v>
          </cell>
          <cell r="AE19">
            <v>3298.5</v>
          </cell>
          <cell r="AF19">
            <v>3093</v>
          </cell>
          <cell r="AG19">
            <v>3437.6</v>
          </cell>
          <cell r="AH19">
            <v>4052.3</v>
          </cell>
          <cell r="AI19">
            <v>6971.1</v>
          </cell>
          <cell r="AJ19">
            <v>18965.3</v>
          </cell>
          <cell r="AK19">
            <v>21129.7</v>
          </cell>
        </row>
        <row r="20">
          <cell r="AC20">
            <v>919.4</v>
          </cell>
          <cell r="AD20">
            <v>946.6</v>
          </cell>
          <cell r="AE20">
            <v>2302</v>
          </cell>
          <cell r="AF20">
            <v>2802.2</v>
          </cell>
          <cell r="AG20">
            <v>2838.4</v>
          </cell>
          <cell r="AH20">
            <v>3017.2000000000003</v>
          </cell>
          <cell r="AI20">
            <v>3443.7</v>
          </cell>
          <cell r="AJ20">
            <v>3587.907830631224</v>
          </cell>
          <cell r="AK20">
            <v>3733.6660122166445</v>
          </cell>
        </row>
        <row r="21">
          <cell r="AC21">
            <v>66452.600000000006</v>
          </cell>
          <cell r="AD21">
            <v>62768</v>
          </cell>
          <cell r="AE21">
            <v>57064.7</v>
          </cell>
          <cell r="AF21">
            <v>58017.600000000006</v>
          </cell>
          <cell r="AG21">
            <v>65333.2</v>
          </cell>
          <cell r="AH21">
            <v>67014.2</v>
          </cell>
          <cell r="AI21">
            <v>66104.2</v>
          </cell>
          <cell r="AJ21">
            <v>65837.564657314419</v>
          </cell>
          <cell r="AK21">
            <v>64722.842256078242</v>
          </cell>
        </row>
        <row r="22">
          <cell r="AC22">
            <v>60658.3</v>
          </cell>
          <cell r="AD22">
            <v>55797.5</v>
          </cell>
          <cell r="AE22">
            <v>49271.199999999997</v>
          </cell>
          <cell r="AF22">
            <v>47584.800000000003</v>
          </cell>
          <cell r="AG22">
            <v>53363.9</v>
          </cell>
          <cell r="AH22">
            <v>54325.1</v>
          </cell>
          <cell r="AI22">
            <v>52996.7</v>
          </cell>
          <cell r="AJ22">
            <v>53053.294013366009</v>
          </cell>
          <cell r="AK22">
            <v>52752.426480259011</v>
          </cell>
        </row>
        <row r="23">
          <cell r="AC23">
            <v>55344.580133205229</v>
          </cell>
          <cell r="AD23">
            <v>52687.359841333826</v>
          </cell>
          <cell r="AE23">
            <v>48004.978269629224</v>
          </cell>
          <cell r="AF23">
            <v>47236.204405972829</v>
          </cell>
          <cell r="AG23">
            <v>43998.707506290091</v>
          </cell>
          <cell r="AH23">
            <v>39149.153049378045</v>
          </cell>
          <cell r="AI23">
            <v>37155.317544248079</v>
          </cell>
          <cell r="AJ23">
            <v>36666.043013616778</v>
          </cell>
          <cell r="AK23">
            <v>35519.915097661389</v>
          </cell>
        </row>
        <row r="24">
          <cell r="AC24">
            <v>5794.3</v>
          </cell>
          <cell r="AD24">
            <v>6970.5</v>
          </cell>
          <cell r="AE24">
            <v>7793.5</v>
          </cell>
          <cell r="AF24">
            <v>10432.799999999999</v>
          </cell>
          <cell r="AG24">
            <v>11969.3</v>
          </cell>
          <cell r="AH24">
            <v>12689.1</v>
          </cell>
          <cell r="AI24">
            <v>13107.5</v>
          </cell>
          <cell r="AJ24">
            <v>12784.270643948417</v>
          </cell>
          <cell r="AK24">
            <v>11970.41577581923</v>
          </cell>
        </row>
        <row r="43">
          <cell r="AC43">
            <v>33497.436099999999</v>
          </cell>
          <cell r="AD43">
            <v>33864.804099999994</v>
          </cell>
          <cell r="AE43">
            <v>18963.899999999998</v>
          </cell>
          <cell r="AF43">
            <v>20334.200000000004</v>
          </cell>
          <cell r="AG43">
            <v>28583.600000000002</v>
          </cell>
          <cell r="AH43">
            <v>33839.955799999996</v>
          </cell>
          <cell r="AI43">
            <v>39411.700000000004</v>
          </cell>
          <cell r="AJ43">
            <v>42659.451005644347</v>
          </cell>
          <cell r="AK43">
            <v>45558.56387929523</v>
          </cell>
        </row>
        <row r="44">
          <cell r="AC44">
            <v>466</v>
          </cell>
          <cell r="AD44">
            <v>543.79999999999995</v>
          </cell>
          <cell r="AE44">
            <v>172.5</v>
          </cell>
          <cell r="AF44">
            <v>103.9</v>
          </cell>
          <cell r="AG44">
            <v>193.9</v>
          </cell>
          <cell r="AH44">
            <v>313.60000000000002</v>
          </cell>
          <cell r="AI44">
            <v>377.2</v>
          </cell>
          <cell r="AJ44">
            <v>449.14469420954902</v>
          </cell>
          <cell r="AK44">
            <v>619.99473527851455</v>
          </cell>
        </row>
        <row r="45">
          <cell r="AC45">
            <v>25276.5</v>
          </cell>
          <cell r="AD45">
            <v>25950.1</v>
          </cell>
          <cell r="AE45">
            <v>16973.7</v>
          </cell>
          <cell r="AF45">
            <v>16892.400000000001</v>
          </cell>
          <cell r="AG45">
            <v>21118.9</v>
          </cell>
          <cell r="AH45">
            <v>25645.255799999999</v>
          </cell>
          <cell r="AI45">
            <v>28424.600000000002</v>
          </cell>
          <cell r="AJ45">
            <v>30900</v>
          </cell>
          <cell r="AK45">
            <v>33950</v>
          </cell>
        </row>
        <row r="46">
          <cell r="AC46">
            <v>6.8</v>
          </cell>
          <cell r="AD46">
            <v>9.4581999999999997</v>
          </cell>
          <cell r="AE46">
            <v>9.3000000000000007</v>
          </cell>
          <cell r="AF46">
            <v>8.4</v>
          </cell>
          <cell r="AG46">
            <v>10.199999999999999</v>
          </cell>
          <cell r="AH46">
            <v>11.099999999999998</v>
          </cell>
          <cell r="AI46">
            <v>13</v>
          </cell>
          <cell r="AJ46">
            <v>13.295999999999999</v>
          </cell>
          <cell r="AK46">
            <v>13.523200000000001</v>
          </cell>
        </row>
        <row r="47">
          <cell r="AC47">
            <v>5199.1000000000004</v>
          </cell>
          <cell r="AD47">
            <v>4749.8999999999996</v>
          </cell>
          <cell r="AE47">
            <v>984.1</v>
          </cell>
          <cell r="AF47">
            <v>2333.9</v>
          </cell>
          <cell r="AG47">
            <v>4797.3999999999996</v>
          </cell>
          <cell r="AH47">
            <v>5279.8</v>
          </cell>
          <cell r="AI47">
            <v>7888.6</v>
          </cell>
          <cell r="AJ47">
            <v>8697.0103114348003</v>
          </cell>
          <cell r="AK47">
            <v>8933.1269440167071</v>
          </cell>
        </row>
        <row r="48">
          <cell r="AC48">
            <v>2549.0361000000003</v>
          </cell>
          <cell r="AD48">
            <v>2611.5459000000001</v>
          </cell>
          <cell r="AE48">
            <v>824.3</v>
          </cell>
          <cell r="AF48">
            <v>995.6</v>
          </cell>
          <cell r="AG48">
            <v>2463.1999999999998</v>
          </cell>
          <cell r="AH48">
            <v>2590.1999999999998</v>
          </cell>
          <cell r="AI48">
            <v>2708.3</v>
          </cell>
          <cell r="AJ48">
            <v>2600</v>
          </cell>
          <cell r="AK48">
            <v>2041.9190000000003</v>
          </cell>
        </row>
        <row r="122">
          <cell r="AC122">
            <v>10339.700000000001</v>
          </cell>
          <cell r="AD122">
            <v>10750.3</v>
          </cell>
          <cell r="AE122">
            <v>10344.299999999999</v>
          </cell>
          <cell r="AF122">
            <v>10817.1</v>
          </cell>
          <cell r="AG122">
            <v>11068.1</v>
          </cell>
          <cell r="AH122">
            <v>10954.6</v>
          </cell>
          <cell r="AI122">
            <v>11323</v>
          </cell>
          <cell r="AJ122">
            <v>11500</v>
          </cell>
          <cell r="AK122">
            <v>11550</v>
          </cell>
        </row>
        <row r="123">
          <cell r="AC123">
            <v>1462.4159999999999</v>
          </cell>
          <cell r="AD123">
            <v>1499.8720000000001</v>
          </cell>
          <cell r="AE123">
            <v>1485.7</v>
          </cell>
          <cell r="AF123">
            <v>1484.3</v>
          </cell>
          <cell r="AG123">
            <v>1443.6</v>
          </cell>
          <cell r="AH123">
            <v>1403.5</v>
          </cell>
          <cell r="AI123">
            <v>1400</v>
          </cell>
          <cell r="AJ123">
            <v>1050</v>
          </cell>
          <cell r="AK123">
            <v>1050</v>
          </cell>
        </row>
        <row r="124">
          <cell r="AC124">
            <v>15</v>
          </cell>
          <cell r="AD124">
            <v>15</v>
          </cell>
          <cell r="AE124">
            <v>15</v>
          </cell>
          <cell r="AF124">
            <v>15</v>
          </cell>
          <cell r="AG124">
            <v>14</v>
          </cell>
          <cell r="AH124">
            <v>14</v>
          </cell>
          <cell r="AI124">
            <v>14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Mon"/>
      <sheetName val="11_12"/>
      <sheetName val="eq"/>
      <sheetName val="monthly"/>
      <sheetName val="reerEA"/>
    </sheetNames>
    <sheetDataSet>
      <sheetData sheetId="0"/>
      <sheetData sheetId="1"/>
      <sheetData sheetId="2">
        <row r="6">
          <cell r="AC6">
            <v>2.2999999999999972</v>
          </cell>
          <cell r="AD6">
            <v>2.5999999999999943</v>
          </cell>
          <cell r="AE6">
            <v>2.7598846669118871</v>
          </cell>
          <cell r="AF6">
            <v>6.7000000000000028</v>
          </cell>
          <cell r="AG6">
            <v>13.9</v>
          </cell>
          <cell r="AH6">
            <v>8.8000000000000007</v>
          </cell>
          <cell r="AI6">
            <v>2.2000000000000002</v>
          </cell>
          <cell r="AJ6">
            <v>1.7422720542668912</v>
          </cell>
          <cell r="AK6">
            <v>2.7179719422707933</v>
          </cell>
          <cell r="AL6">
            <v>5.0653075085369039</v>
          </cell>
          <cell r="AM6">
            <v>6.7020945420822642</v>
          </cell>
          <cell r="AN6">
            <v>7.0662044612957544</v>
          </cell>
          <cell r="AO6">
            <v>7.2035648256658931</v>
          </cell>
        </row>
      </sheetData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&amp;A BOP"/>
      <sheetName val="Non-oil export"/>
      <sheetName val="BOP"/>
      <sheetName val="Trade of Oil-Gas"/>
      <sheetName val="External Debt"/>
      <sheetName val="Trade of goods"/>
      <sheetName val="Trade of Service"/>
      <sheetName val="Income account"/>
      <sheetName val="Cap-FinAccount"/>
      <sheetName val="eq14"/>
      <sheetName val="BVM"/>
      <sheetName val="IMF"/>
      <sheetName val="IIPupd"/>
    </sheetNames>
    <sheetDataSet>
      <sheetData sheetId="0"/>
      <sheetData sheetId="1"/>
      <sheetData sheetId="2">
        <row r="4">
          <cell r="AC4">
            <v>6051.0769999999993</v>
          </cell>
          <cell r="AD4">
            <v>4364.8859999999986</v>
          </cell>
          <cell r="AE4">
            <v>-227.56799999999839</v>
          </cell>
          <cell r="AF4">
            <v>8291.5799999999963</v>
          </cell>
          <cell r="AG4">
            <v>23478.078942296059</v>
          </cell>
          <cell r="AH4">
            <v>8329.367598587296</v>
          </cell>
          <cell r="AI4">
            <v>4671.1079999999984</v>
          </cell>
          <cell r="AJ4">
            <v>3828.0968053498218</v>
          </cell>
          <cell r="AK4">
            <v>2283.6963456688236</v>
          </cell>
          <cell r="AL4">
            <v>1685.7318793402069</v>
          </cell>
          <cell r="AM4">
            <v>1189.7669634508168</v>
          </cell>
          <cell r="AN4">
            <v>1537.5469956253337</v>
          </cell>
          <cell r="AO4">
            <v>2154.0727153801381</v>
          </cell>
        </row>
        <row r="8">
          <cell r="AC8">
            <v>9841.3279999999995</v>
          </cell>
          <cell r="AD8">
            <v>8532.9449999999979</v>
          </cell>
          <cell r="AE8">
            <v>2511.5940000000028</v>
          </cell>
          <cell r="AF8">
            <v>11273.612999999998</v>
          </cell>
          <cell r="AG8">
            <v>28697.477942296056</v>
          </cell>
          <cell r="AH8">
            <v>12805.562598587294</v>
          </cell>
          <cell r="AI8">
            <v>8824.9439999999959</v>
          </cell>
          <cell r="AJ8">
            <v>5868.0488315264083</v>
          </cell>
          <cell r="AK8">
            <v>3113.1285741683059</v>
          </cell>
          <cell r="AL8">
            <v>2046.0325321811069</v>
          </cell>
          <cell r="AM8">
            <v>1158.9649740105669</v>
          </cell>
          <cell r="AN8">
            <v>1337.378800729206</v>
          </cell>
          <cell r="AO8">
            <v>948.70085840296815</v>
          </cell>
        </row>
        <row r="9">
          <cell r="AC9">
            <v>20793.769</v>
          </cell>
          <cell r="AD9">
            <v>19868.260999999999</v>
          </cell>
          <cell r="AE9">
            <v>12588.158000000001</v>
          </cell>
          <cell r="AF9">
            <v>21692.280999999999</v>
          </cell>
          <cell r="AG9">
            <v>42206.693942296057</v>
          </cell>
          <cell r="AH9">
            <v>29202.113598587293</v>
          </cell>
          <cell r="AI9">
            <v>25992.027999999998</v>
          </cell>
          <cell r="AJ9">
            <v>22740.454245404082</v>
          </cell>
          <cell r="AK9">
            <v>20367.477866417074</v>
          </cell>
          <cell r="AL9">
            <v>19457.166832381405</v>
          </cell>
          <cell r="AM9">
            <v>19581.933553837785</v>
          </cell>
          <cell r="AN9">
            <v>20709.474553398155</v>
          </cell>
          <cell r="AO9">
            <v>20393.946623308053</v>
          </cell>
        </row>
        <row r="10">
          <cell r="AC10">
            <v>19176.026000000002</v>
          </cell>
          <cell r="AD10">
            <v>18017.195</v>
          </cell>
          <cell r="AE10">
            <v>10817.262000000001</v>
          </cell>
          <cell r="AF10">
            <v>19144.922999999999</v>
          </cell>
          <cell r="AG10">
            <v>39266.863742296053</v>
          </cell>
          <cell r="AH10">
            <v>25934.975598587294</v>
          </cell>
          <cell r="AI10">
            <v>22750.992999999999</v>
          </cell>
          <cell r="AJ10">
            <v>19171.823208929211</v>
          </cell>
          <cell r="AK10">
            <v>16533.390092483052</v>
          </cell>
          <cell r="AL10">
            <v>15297.14485931428</v>
          </cell>
          <cell r="AM10">
            <v>14564.343250505795</v>
          </cell>
          <cell r="AN10">
            <v>15005.213331483588</v>
          </cell>
          <cell r="AO10">
            <v>14920.611491599298</v>
          </cell>
        </row>
        <row r="11">
          <cell r="AC11">
            <v>1617.7429999999999</v>
          </cell>
          <cell r="AD11">
            <v>1851.066</v>
          </cell>
          <cell r="AE11">
            <v>1770.896</v>
          </cell>
          <cell r="AF11">
            <v>2547.3580000000002</v>
          </cell>
          <cell r="AG11">
            <v>2939.8302000000012</v>
          </cell>
          <cell r="AH11">
            <v>3267.1379999999999</v>
          </cell>
          <cell r="AI11">
            <v>3241.0349999999999</v>
          </cell>
          <cell r="AJ11">
            <v>3568.6310364748711</v>
          </cell>
          <cell r="AK11">
            <v>3834.0877739340217</v>
          </cell>
          <cell r="AL11">
            <v>4160.0219730671242</v>
          </cell>
          <cell r="AM11">
            <v>5017.590303331991</v>
          </cell>
          <cell r="AN11">
            <v>5704.2612219145685</v>
          </cell>
          <cell r="AO11">
            <v>5473.3351317087545</v>
          </cell>
        </row>
        <row r="12">
          <cell r="AC12">
            <v>10952.441000000001</v>
          </cell>
          <cell r="AD12">
            <v>11335.316000000001</v>
          </cell>
          <cell r="AE12">
            <v>10076.563999999998</v>
          </cell>
          <cell r="AF12">
            <v>10418.668000000001</v>
          </cell>
          <cell r="AG12">
            <v>13509.216</v>
          </cell>
          <cell r="AH12">
            <v>16396.550999999999</v>
          </cell>
          <cell r="AI12">
            <v>17167.084000000003</v>
          </cell>
          <cell r="AJ12">
            <v>16872.405413877674</v>
          </cell>
          <cell r="AK12">
            <v>17254.349292248768</v>
          </cell>
          <cell r="AL12">
            <v>17411.134300200298</v>
          </cell>
          <cell r="AM12">
            <v>18422.968579827218</v>
          </cell>
          <cell r="AN12">
            <v>19372.095752668949</v>
          </cell>
          <cell r="AO12">
            <v>19445.245764905085</v>
          </cell>
        </row>
        <row r="13">
          <cell r="AC13">
            <v>1745.377</v>
          </cell>
          <cell r="AD13">
            <v>1881.509</v>
          </cell>
          <cell r="AE13">
            <v>1876.085</v>
          </cell>
          <cell r="AF13">
            <v>1624.7180000000001</v>
          </cell>
          <cell r="AG13">
            <v>2539.0250000000001</v>
          </cell>
          <cell r="AH13">
            <v>2848.5059999999999</v>
          </cell>
          <cell r="AI13">
            <v>2468.8310000000001</v>
          </cell>
          <cell r="AJ13">
            <v>2498.8414871439895</v>
          </cell>
          <cell r="AK13">
            <v>2547.4599945256855</v>
          </cell>
          <cell r="AL13">
            <v>2220.529776253316</v>
          </cell>
          <cell r="AM13">
            <v>2273.0618604948518</v>
          </cell>
          <cell r="AN13">
            <v>2275.1007420356427</v>
          </cell>
          <cell r="AO13">
            <v>1371.5470538638058</v>
          </cell>
        </row>
        <row r="14">
          <cell r="AC14">
            <v>9207.0640000000003</v>
          </cell>
          <cell r="AD14">
            <v>9453.8070000000007</v>
          </cell>
          <cell r="AE14">
            <v>8200.4789999999994</v>
          </cell>
          <cell r="AF14">
            <v>8793.9500000000007</v>
          </cell>
          <cell r="AG14">
            <v>10970.191000000001</v>
          </cell>
          <cell r="AH14">
            <v>13548.045</v>
          </cell>
          <cell r="AI14">
            <v>14698.253000000001</v>
          </cell>
          <cell r="AJ14">
            <v>14373.563926733683</v>
          </cell>
          <cell r="AK14">
            <v>14706.889297723081</v>
          </cell>
          <cell r="AL14">
            <v>15190.604523946982</v>
          </cell>
          <cell r="AM14">
            <v>16149.906719332366</v>
          </cell>
          <cell r="AN14">
            <v>17096.995010633305</v>
          </cell>
          <cell r="AO14">
            <v>18073.698711041277</v>
          </cell>
        </row>
        <row r="15">
          <cell r="AC15">
            <v>-2062.0540000000001</v>
          </cell>
          <cell r="AD15">
            <v>-2615.6629999999996</v>
          </cell>
          <cell r="AE15">
            <v>-2840.6600000000012</v>
          </cell>
          <cell r="AF15">
            <v>-2122.8980000000001</v>
          </cell>
          <cell r="AG15">
            <v>-2697.8230000000003</v>
          </cell>
          <cell r="AH15">
            <v>-2334.6479999999974</v>
          </cell>
          <cell r="AI15">
            <v>-2050.8449999999984</v>
          </cell>
          <cell r="AJ15">
            <v>-1207.3450020958753</v>
          </cell>
          <cell r="AK15">
            <v>-798.29085124203084</v>
          </cell>
          <cell r="AL15">
            <v>-690.77886267537542</v>
          </cell>
          <cell r="AM15">
            <v>-418.52563157977238</v>
          </cell>
          <cell r="AN15">
            <v>-342.77979914166826</v>
          </cell>
          <cell r="AO15">
            <v>731.70465214546493</v>
          </cell>
        </row>
        <row r="16">
          <cell r="AC16">
            <v>4690.7029999999995</v>
          </cell>
          <cell r="AD16">
            <v>3761.4799999999996</v>
          </cell>
          <cell r="AE16">
            <v>2620.5949999999998</v>
          </cell>
          <cell r="AF16">
            <v>3795.384</v>
          </cell>
          <cell r="AG16">
            <v>5067.393</v>
          </cell>
          <cell r="AH16">
            <v>6285.2400000000016</v>
          </cell>
          <cell r="AI16">
            <v>8120.8789999999999</v>
          </cell>
          <cell r="AJ16">
            <v>8662.9378423312992</v>
          </cell>
          <cell r="AK16">
            <v>9257.2829668026498</v>
          </cell>
          <cell r="AL16">
            <v>9891.054075690854</v>
          </cell>
          <cell r="AM16">
            <v>10531.152126418279</v>
          </cell>
          <cell r="AN16">
            <v>10919.106232038894</v>
          </cell>
          <cell r="AO16">
            <v>11046.116280069597</v>
          </cell>
        </row>
        <row r="17">
          <cell r="AC17">
            <v>195.352</v>
          </cell>
          <cell r="AD17">
            <v>200.40600000000001</v>
          </cell>
          <cell r="AE17">
            <v>385.03300000000002</v>
          </cell>
          <cell r="AF17">
            <v>976.29600000000005</v>
          </cell>
          <cell r="AG17">
            <v>1310.6890000000001</v>
          </cell>
          <cell r="AH17">
            <v>1522.4970000000001</v>
          </cell>
          <cell r="AI17">
            <v>1607.5350000000001</v>
          </cell>
          <cell r="AJ17">
            <v>1720.8999999999999</v>
          </cell>
          <cell r="AK17">
            <v>1684.8</v>
          </cell>
          <cell r="AL17">
            <v>1768.6</v>
          </cell>
          <cell r="AM17">
            <v>1730.5</v>
          </cell>
          <cell r="AN17">
            <v>1598.8</v>
          </cell>
          <cell r="AO17">
            <v>1598.8</v>
          </cell>
        </row>
        <row r="18">
          <cell r="AC18">
            <v>4495.3509999999997</v>
          </cell>
          <cell r="AD18">
            <v>3561.0739999999996</v>
          </cell>
          <cell r="AE18">
            <v>2235.5619999999999</v>
          </cell>
          <cell r="AF18">
            <v>2819.0879999999997</v>
          </cell>
          <cell r="AG18">
            <v>3756.7040000000002</v>
          </cell>
          <cell r="AH18">
            <v>4762.7430000000013</v>
          </cell>
          <cell r="AI18">
            <v>6513.3440000000001</v>
          </cell>
          <cell r="AJ18">
            <v>6942.0378423312986</v>
          </cell>
          <cell r="AK18">
            <v>7572.4829668026505</v>
          </cell>
          <cell r="AL18">
            <v>8122.4540756908546</v>
          </cell>
          <cell r="AM18">
            <v>8800.6521264182793</v>
          </cell>
          <cell r="AN18">
            <v>9320.3062320388944</v>
          </cell>
          <cell r="AO18">
            <v>9447.3162800695973</v>
          </cell>
        </row>
        <row r="19">
          <cell r="AC19">
            <v>6752.7569999999996</v>
          </cell>
          <cell r="AD19">
            <v>6377.1429999999991</v>
          </cell>
          <cell r="AE19">
            <v>5461.255000000001</v>
          </cell>
          <cell r="AF19">
            <v>5918.2820000000002</v>
          </cell>
          <cell r="AG19">
            <v>7765.2160000000003</v>
          </cell>
          <cell r="AH19">
            <v>8619.887999999999</v>
          </cell>
          <cell r="AI19">
            <v>10171.723999999998</v>
          </cell>
          <cell r="AJ19">
            <v>9870.2828444271745</v>
          </cell>
          <cell r="AK19">
            <v>10055.573818044681</v>
          </cell>
          <cell r="AL19">
            <v>10581.832938366229</v>
          </cell>
          <cell r="AM19">
            <v>10949.677757998052</v>
          </cell>
          <cell r="AN19">
            <v>11261.886031180562</v>
          </cell>
          <cell r="AO19">
            <v>10314.411627924132</v>
          </cell>
        </row>
        <row r="20">
          <cell r="AC20">
            <v>1907.373</v>
          </cell>
          <cell r="AD20">
            <v>2039.4089999999999</v>
          </cell>
          <cell r="AE20">
            <v>2801.6489999999999</v>
          </cell>
          <cell r="AF20">
            <v>2621.5370000000003</v>
          </cell>
          <cell r="AG20">
            <v>3293.3440000000001</v>
          </cell>
          <cell r="AH20">
            <v>3584.5680000000002</v>
          </cell>
          <cell r="AI20">
            <v>3450.5910000000003</v>
          </cell>
          <cell r="AJ20">
            <v>2980.2813666109246</v>
          </cell>
          <cell r="AK20">
            <v>3030.8757793626332</v>
          </cell>
          <cell r="AL20">
            <v>3156.4109698135217</v>
          </cell>
          <cell r="AM20">
            <v>3217.9073508014717</v>
          </cell>
          <cell r="AN20">
            <v>3118.0533402755232</v>
          </cell>
          <cell r="AO20">
            <v>1919.5288089245212</v>
          </cell>
        </row>
        <row r="21">
          <cell r="AC21">
            <v>4845.384</v>
          </cell>
          <cell r="AD21">
            <v>4337.7339999999995</v>
          </cell>
          <cell r="AE21">
            <v>2659.6060000000007</v>
          </cell>
          <cell r="AF21">
            <v>3296.7449999999999</v>
          </cell>
          <cell r="AG21">
            <v>4471.8720000000003</v>
          </cell>
          <cell r="AH21">
            <v>5035.32</v>
          </cell>
          <cell r="AI21">
            <v>6721.1329999999989</v>
          </cell>
          <cell r="AJ21">
            <v>6890.0014778162504</v>
          </cell>
          <cell r="AK21">
            <v>7024.6980386820478</v>
          </cell>
          <cell r="AL21">
            <v>7425.4219685527078</v>
          </cell>
          <cell r="AM21">
            <v>7731.77040719658</v>
          </cell>
          <cell r="AN21">
            <v>8143.8326909050384</v>
          </cell>
          <cell r="AO21">
            <v>8394.8828189996111</v>
          </cell>
        </row>
        <row r="22">
          <cell r="AC22">
            <v>-2459.5650000000001</v>
          </cell>
          <cell r="AD22">
            <v>-2061.0140000000001</v>
          </cell>
          <cell r="AE22">
            <v>-456.27799999999979</v>
          </cell>
          <cell r="AF22">
            <v>-1318.6159999999995</v>
          </cell>
          <cell r="AG22">
            <v>-5486.9780000000001</v>
          </cell>
          <cell r="AH22">
            <v>-3199.1170000000002</v>
          </cell>
          <cell r="AI22">
            <v>-2734.7349999999997</v>
          </cell>
          <cell r="AJ22">
            <v>-1503.5294489629023</v>
          </cell>
          <cell r="AK22">
            <v>-757.32019139640533</v>
          </cell>
          <cell r="AL22">
            <v>-500.69814861595069</v>
          </cell>
          <cell r="AM22">
            <v>-461.6377499020291</v>
          </cell>
          <cell r="AN22">
            <v>-439.6949411792848</v>
          </cell>
          <cell r="AO22">
            <v>-580.36745086549217</v>
          </cell>
        </row>
        <row r="29">
          <cell r="AC29">
            <v>731.36799999999994</v>
          </cell>
          <cell r="AD29">
            <v>508.61800000000005</v>
          </cell>
          <cell r="AE29">
            <v>557.77599999999984</v>
          </cell>
          <cell r="AF29">
            <v>459.48100000000011</v>
          </cell>
          <cell r="AG29">
            <v>2965.402</v>
          </cell>
          <cell r="AH29">
            <v>1057.5700000000002</v>
          </cell>
          <cell r="AI29">
            <v>631.74400000000014</v>
          </cell>
          <cell r="AJ29">
            <v>670.92242488219119</v>
          </cell>
          <cell r="AK29">
            <v>726.17881413895407</v>
          </cell>
          <cell r="AL29">
            <v>831.17635845042605</v>
          </cell>
          <cell r="AM29">
            <v>910.96537092205131</v>
          </cell>
          <cell r="AN29">
            <v>982.64293521708078</v>
          </cell>
          <cell r="AO29">
            <v>1054.0346556971972</v>
          </cell>
        </row>
        <row r="33">
          <cell r="AC33">
            <v>1.4239999999999999</v>
          </cell>
          <cell r="AD33">
            <v>-18.62</v>
          </cell>
          <cell r="AE33">
            <v>-7.375</v>
          </cell>
          <cell r="AF33">
            <v>-4.1660000000000004</v>
          </cell>
          <cell r="AG33">
            <v>-2.0000000000002238E-3</v>
          </cell>
          <cell r="AH33">
            <v>-9.6180000000000003</v>
          </cell>
          <cell r="AI33">
            <v>-1.4449999999999998</v>
          </cell>
        </row>
        <row r="36">
          <cell r="AC36">
            <v>-3190.7779999999993</v>
          </cell>
          <cell r="AD36">
            <v>134.84900000000039</v>
          </cell>
          <cell r="AE36">
            <v>-2400.7649999999999</v>
          </cell>
          <cell r="AF36">
            <v>-5052.4549999999999</v>
          </cell>
          <cell r="AG36">
            <v>-12485.159</v>
          </cell>
          <cell r="AH36">
            <v>-4283.9960000000001</v>
          </cell>
          <cell r="AI36">
            <v>-6628.8765000000003</v>
          </cell>
        </row>
        <row r="57">
          <cell r="AC57">
            <v>-3508.12</v>
          </cell>
          <cell r="AD57">
            <v>-5142.9239999999991</v>
          </cell>
          <cell r="AE57">
            <v>1987.6659999999983</v>
          </cell>
          <cell r="AF57">
            <v>-3081.379999999996</v>
          </cell>
          <cell r="AG57">
            <v>-9375.1549422960597</v>
          </cell>
          <cell r="AH57">
            <v>-5356.3605985872955</v>
          </cell>
          <cell r="AI57">
            <v>2065.8995000000018</v>
          </cell>
        </row>
        <row r="61">
          <cell r="AC61">
            <v>646.39700000000005</v>
          </cell>
          <cell r="AD61">
            <v>661.80899999999997</v>
          </cell>
          <cell r="AE61">
            <v>648.04200000000003</v>
          </cell>
          <cell r="AF61">
            <v>-153.57900000000001</v>
          </cell>
          <cell r="AG61">
            <v>-1617.7629999999999</v>
          </cell>
          <cell r="AH61">
            <v>1320.607</v>
          </cell>
          <cell r="AI61">
            <v>-106.68600000000001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>
    <pageSetUpPr fitToPage="1"/>
  </sheetPr>
  <dimension ref="A1:U58"/>
  <sheetViews>
    <sheetView view="pageBreakPreview" zoomScaleSheetLayoutView="100" workbookViewId="0">
      <pane xSplit="3" ySplit="3" topLeftCell="P4" activePane="bottomRight" state="frozenSplit"/>
      <selection sqref="A1:N1"/>
      <selection pane="topRight" sqref="A1:N1"/>
      <selection pane="bottomLeft" sqref="A1:N1"/>
      <selection pane="bottomRight" activeCell="AA13" sqref="AA13"/>
    </sheetView>
  </sheetViews>
  <sheetFormatPr baseColWidth="10" defaultColWidth="9.1640625" defaultRowHeight="13" outlineLevelCol="1"/>
  <cols>
    <col min="1" max="1" width="4.83203125" style="23" customWidth="1"/>
    <col min="2" max="2" width="26.5" style="4" customWidth="1"/>
    <col min="3" max="3" width="10.5" style="162" customWidth="1"/>
    <col min="4" max="6" width="7.83203125" style="5" hidden="1" customWidth="1" outlineLevel="1"/>
    <col min="7" max="7" width="7.83203125" style="5" hidden="1" customWidth="1" collapsed="1"/>
    <col min="8" max="8" width="7.83203125" style="59" hidden="1" customWidth="1"/>
    <col min="9" max="9" width="9.33203125" style="59" hidden="1" customWidth="1"/>
    <col min="10" max="10" width="9.33203125" style="5" hidden="1" customWidth="1"/>
    <col min="11" max="11" width="10.83203125" style="6" hidden="1" customWidth="1"/>
    <col min="12" max="16" width="10.83203125" style="5" hidden="1" customWidth="1"/>
    <col min="17" max="20" width="10.83203125" style="5" customWidth="1"/>
    <col min="21" max="21" width="10.83203125" style="5" hidden="1" customWidth="1"/>
    <col min="22" max="16384" width="9.1640625" style="5"/>
  </cols>
  <sheetData>
    <row r="1" spans="1:21" customFormat="1" ht="27" customHeight="1">
      <c r="A1" s="242" t="s">
        <v>401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34"/>
    </row>
    <row r="2" spans="1:21" customFormat="1">
      <c r="A2" s="245" t="s">
        <v>0</v>
      </c>
      <c r="B2" s="239" t="s">
        <v>1</v>
      </c>
      <c r="C2" s="248" t="s">
        <v>2</v>
      </c>
      <c r="D2" s="250" t="s">
        <v>13</v>
      </c>
      <c r="E2" s="251"/>
      <c r="F2" s="251"/>
      <c r="G2" s="251"/>
      <c r="H2" s="251"/>
      <c r="I2" s="251"/>
      <c r="J2" s="251"/>
      <c r="K2" s="252"/>
      <c r="L2" s="235"/>
      <c r="M2" s="236"/>
      <c r="N2" s="236"/>
      <c r="O2" s="236"/>
      <c r="P2" s="239" t="s">
        <v>3</v>
      </c>
      <c r="Q2" s="240"/>
      <c r="R2" s="240"/>
      <c r="S2" s="240"/>
      <c r="T2" s="241"/>
      <c r="U2" s="238"/>
    </row>
    <row r="3" spans="1:21" customFormat="1" ht="12.5" customHeight="1">
      <c r="A3" s="246"/>
      <c r="B3" s="247"/>
      <c r="C3" s="249"/>
      <c r="D3" s="105">
        <f t="shared" ref="D3:K3" si="0">E3-1</f>
        <v>2013</v>
      </c>
      <c r="E3" s="106">
        <f t="shared" si="0"/>
        <v>2014</v>
      </c>
      <c r="F3" s="106">
        <f t="shared" si="0"/>
        <v>2015</v>
      </c>
      <c r="G3" s="106">
        <f t="shared" si="0"/>
        <v>2016</v>
      </c>
      <c r="H3" s="105">
        <f t="shared" si="0"/>
        <v>2017</v>
      </c>
      <c r="I3" s="105">
        <f t="shared" si="0"/>
        <v>2018</v>
      </c>
      <c r="J3" s="106">
        <f t="shared" si="0"/>
        <v>2019</v>
      </c>
      <c r="K3" s="208">
        <f t="shared" si="0"/>
        <v>2020</v>
      </c>
      <c r="L3" s="106">
        <f>M3-1</f>
        <v>2021</v>
      </c>
      <c r="M3" s="106">
        <v>2022</v>
      </c>
      <c r="N3" s="106">
        <v>2023</v>
      </c>
      <c r="O3" s="106">
        <v>2024</v>
      </c>
      <c r="P3" s="220">
        <v>2025</v>
      </c>
      <c r="Q3" s="221">
        <v>2026</v>
      </c>
      <c r="R3" s="221">
        <v>2027</v>
      </c>
      <c r="S3" s="221">
        <v>2028</v>
      </c>
      <c r="T3" s="218">
        <v>2029</v>
      </c>
      <c r="U3" s="218">
        <v>2030</v>
      </c>
    </row>
    <row r="4" spans="1:21" customFormat="1" ht="14">
      <c r="A4" s="107" t="s">
        <v>24</v>
      </c>
      <c r="B4" s="108" t="s">
        <v>54</v>
      </c>
      <c r="C4" s="152" t="s">
        <v>12</v>
      </c>
      <c r="D4" s="109">
        <v>58182</v>
      </c>
      <c r="E4" s="110">
        <v>59014.1</v>
      </c>
      <c r="F4" s="110">
        <v>54379.9</v>
      </c>
      <c r="G4" s="110">
        <v>60425.2</v>
      </c>
      <c r="H4" s="109">
        <v>70337.826329999996</v>
      </c>
      <c r="I4" s="109">
        <f>'[1]ÜDM sahələr üzrə'!AC5</f>
        <v>80092</v>
      </c>
      <c r="J4" s="110">
        <f>'[1]ÜDM sahələr üzrə'!AD5</f>
        <v>81896.2</v>
      </c>
      <c r="K4" s="111">
        <f>'[1]ÜDM sahələr üzrə'!AE5</f>
        <v>72578.099999999991</v>
      </c>
      <c r="L4" s="110">
        <f>'[1]ÜDM sahələr üzrə'!AF5</f>
        <v>93203.200000000012</v>
      </c>
      <c r="M4" s="110">
        <f>'[1]ÜDM sahələr üzrə'!AG5</f>
        <v>133972.67499999999</v>
      </c>
      <c r="N4" s="110">
        <f>'[1]ÜDM sahələr üzrə'!AH5</f>
        <v>123128.433</v>
      </c>
      <c r="O4" s="110">
        <f>'[1]ÜDM sahələr üzrə'!AI5</f>
        <v>126337.0099</v>
      </c>
      <c r="P4" s="109">
        <f>'[1]ÜDM sahələr üzrə'!AJ5</f>
        <v>128134.2131721304</v>
      </c>
      <c r="Q4" s="230">
        <f>'[1]ÜDM sahələr üzrə'!AK5</f>
        <v>130056.06367326852</v>
      </c>
      <c r="R4" s="230">
        <f>'[1]ÜDM sahələr üzrə'!AL5</f>
        <v>137422.89222626464</v>
      </c>
      <c r="S4" s="230">
        <f>'[1]ÜDM sahələr üzrə'!AM5</f>
        <v>146693.04799210199</v>
      </c>
      <c r="T4" s="226">
        <f>'[1]ÜDM sahələr üzrə'!AN5</f>
        <v>159372.34208143747</v>
      </c>
      <c r="U4" s="226">
        <f>'[1]ÜDM sahələr üzrə'!AO5</f>
        <v>168392.9452893007</v>
      </c>
    </row>
    <row r="5" spans="1:21" customFormat="1" ht="14">
      <c r="A5" s="2"/>
      <c r="B5" s="3" t="s">
        <v>55</v>
      </c>
      <c r="C5" s="153" t="s">
        <v>6</v>
      </c>
      <c r="D5" s="59">
        <v>5.907261405851683</v>
      </c>
      <c r="E5" s="5">
        <v>2.8217373927302396</v>
      </c>
      <c r="F5" s="5">
        <v>0.90314241582455912</v>
      </c>
      <c r="G5" s="5">
        <v>-3.1333177200635514</v>
      </c>
      <c r="H5" s="59">
        <v>0.17607220283086877</v>
      </c>
      <c r="I5" s="59">
        <f>'[1]ÜDM sahələr üzrə'!AC6</f>
        <v>1.5</v>
      </c>
      <c r="J5" s="5">
        <f>'[1]ÜDM sahələr üzrə'!AD6</f>
        <v>2.5</v>
      </c>
      <c r="K5" s="6">
        <f>'[1]ÜDM sahələr üzrə'!AE6</f>
        <v>-4.2000000000000028</v>
      </c>
      <c r="L5" s="5">
        <f>'[1]ÜDM sahələr üzrə'!AF6</f>
        <v>5.6</v>
      </c>
      <c r="M5" s="5">
        <f>'[1]ÜDM sahələr üzrə'!AG6</f>
        <v>4.6692036890364266</v>
      </c>
      <c r="N5" s="5">
        <f>'[1]ÜDM sahələr üzrə'!AH6</f>
        <v>1.4193535296283377</v>
      </c>
      <c r="O5" s="5">
        <f>'[1]ÜDM sahələr üzrə'!AI6</f>
        <v>4.0660313763596729</v>
      </c>
      <c r="P5" s="59">
        <f>'[1]ÜDM sahələr üzrə'!AJ6</f>
        <v>3.1046396890931525</v>
      </c>
      <c r="Q5" s="5">
        <f>'[1]ÜDM sahələr üzrə'!AK6</f>
        <v>2.4804947576486254</v>
      </c>
      <c r="R5" s="5">
        <f>'[1]ÜDM sahələr üzrə'!AL6</f>
        <v>2.6284548386721491</v>
      </c>
      <c r="S5" s="5">
        <f>'[1]ÜDM sahələr üzrə'!AM6</f>
        <v>2.3123572126177177</v>
      </c>
      <c r="T5" s="6">
        <f>'[1]ÜDM sahələr üzrə'!AN6</f>
        <v>3.7911582172896594</v>
      </c>
      <c r="U5" s="6">
        <f>'[1]ÜDM sahələr üzrə'!AO6</f>
        <v>0.97038856638787074</v>
      </c>
    </row>
    <row r="6" spans="1:21" customFormat="1" ht="14">
      <c r="A6" s="7"/>
      <c r="B6" s="8" t="s">
        <v>56</v>
      </c>
      <c r="C6" s="154" t="s">
        <v>6</v>
      </c>
      <c r="D6" s="60">
        <v>0.25263050190266656</v>
      </c>
      <c r="E6" s="10">
        <v>-1.2533811257129854</v>
      </c>
      <c r="F6" s="10">
        <v>-8.6774720938005885</v>
      </c>
      <c r="G6" s="10">
        <v>14.711053067059538</v>
      </c>
      <c r="H6" s="59">
        <v>16.200192376273321</v>
      </c>
      <c r="I6" s="60">
        <f>'[1]ÜDM sahələr üzrə'!AC7</f>
        <v>12.184876956965468</v>
      </c>
      <c r="J6" s="10">
        <f>'[1]ÜDM sahələr üzrə'!AD7</f>
        <v>-0.24130786181257236</v>
      </c>
      <c r="K6" s="11">
        <f>'[1]ÜDM sahələr üzrə'!AE7</f>
        <v>-7.4926298450639734</v>
      </c>
      <c r="L6" s="10">
        <f>'[1]ÜDM sahələr üzrə'!AF7</f>
        <v>21.6077660624983</v>
      </c>
      <c r="M6" s="10">
        <f>'[1]ÜDM sahələr üzrə'!AG7</f>
        <v>37.330336843532251</v>
      </c>
      <c r="N6" s="10">
        <f>'[1]ÜDM sahələr üzrə'!AH7</f>
        <v>-9.3805784553804301</v>
      </c>
      <c r="O6" s="10">
        <f>'[1]ÜDM sahələr üzrə'!AI7</f>
        <v>-1.4031026580185539</v>
      </c>
      <c r="P6" s="60">
        <f>'[1]ÜDM sahələr üzrə'!AJ7</f>
        <v>-1.6314423397709987</v>
      </c>
      <c r="Q6" s="10">
        <f>'[1]ÜDM sahələr üzrə'!AK7</f>
        <v>-0.95688621861904721</v>
      </c>
      <c r="R6" s="10">
        <f>'[1]ÜDM sahələr üzrə'!AL7</f>
        <v>2.9581401759837433</v>
      </c>
      <c r="S6" s="10">
        <f>'[1]ÜDM sahələr üzrə'!AM7</f>
        <v>4.3331590255732237</v>
      </c>
      <c r="T6" s="11">
        <f>'[1]ÜDM sahələr üzrə'!AN7</f>
        <v>4.6750227996132452</v>
      </c>
      <c r="U6" s="11">
        <f>'[1]ÜDM sahələr üzrə'!AO7</f>
        <v>4.6446212801958922</v>
      </c>
    </row>
    <row r="7" spans="1:21" customFormat="1" ht="28">
      <c r="A7" s="116" t="s">
        <v>25</v>
      </c>
      <c r="B7" s="108" t="s">
        <v>402</v>
      </c>
      <c r="C7" s="152" t="s">
        <v>12</v>
      </c>
      <c r="D7" s="118">
        <v>24968.399999999998</v>
      </c>
      <c r="E7" s="119">
        <v>22824.899999999998</v>
      </c>
      <c r="F7" s="119">
        <v>16459.599999999999</v>
      </c>
      <c r="G7" s="119">
        <v>20449.38</v>
      </c>
      <c r="H7" s="120">
        <v>26026.039999999997</v>
      </c>
      <c r="I7" s="118">
        <f>'[1]ÜDM sahələr üzrə'!AC366</f>
        <v>33389.4</v>
      </c>
      <c r="J7" s="119">
        <f>'[1]ÜDM sahələr üzrə'!AD366</f>
        <v>31246</v>
      </c>
      <c r="K7" s="121">
        <f>'[1]ÜDM sahələr üzrə'!AE366</f>
        <v>21446.639999999999</v>
      </c>
      <c r="L7" s="119">
        <f>'[1]ÜDM sahələr üzrə'!AF366</f>
        <v>35770.800000000003</v>
      </c>
      <c r="M7" s="119">
        <f>'[1]ÜDM sahələr üzrə'!AG366</f>
        <v>64208.55</v>
      </c>
      <c r="N7" s="119">
        <f>'[1]ÜDM sahələr üzrə'!AH366</f>
        <v>44138.1</v>
      </c>
      <c r="O7" s="119">
        <f>'[1]ÜDM sahələr üzrə'!AI366</f>
        <v>40624.6</v>
      </c>
      <c r="P7" s="118">
        <f>'[1]ÜDM sahələr üzrə'!AJ366</f>
        <v>36348.777326765645</v>
      </c>
      <c r="Q7" s="119">
        <f>'[1]ÜDM sahələr üzrə'!AK366</f>
        <v>32345.358589366879</v>
      </c>
      <c r="R7" s="119">
        <f>'[1]ÜDM sahələr üzrə'!AL366</f>
        <v>31816.918311298276</v>
      </c>
      <c r="S7" s="119">
        <f>'[1]ÜDM sahələr üzrə'!AM366</f>
        <v>30754.387583235944</v>
      </c>
      <c r="T7" s="121">
        <f>'[1]ÜDM sahələr üzrə'!AN366</f>
        <v>32385.509883999781</v>
      </c>
      <c r="U7" s="121">
        <f>'[1]ÜDM sahələr üzrə'!AO366</f>
        <v>32416.157512714864</v>
      </c>
    </row>
    <row r="8" spans="1:21" customFormat="1" ht="14">
      <c r="A8" s="2"/>
      <c r="B8" s="3" t="s">
        <v>55</v>
      </c>
      <c r="C8" s="153" t="s">
        <v>6</v>
      </c>
      <c r="D8" s="59">
        <v>1.0042108650521757</v>
      </c>
      <c r="E8" s="5">
        <v>-2.9295213149420838</v>
      </c>
      <c r="F8" s="5">
        <v>1.1756349425408219</v>
      </c>
      <c r="G8" s="5">
        <v>-2.2276969063646734E-2</v>
      </c>
      <c r="H8" s="59">
        <v>-5.0304021442214877</v>
      </c>
      <c r="I8" s="59">
        <f>'[1]ÜDM sahələr üzrə'!AC367</f>
        <v>0.55870986705602088</v>
      </c>
      <c r="J8" s="5">
        <f>'[1]ÜDM sahələr üzrə'!AD367</f>
        <v>0.43042648265617234</v>
      </c>
      <c r="K8" s="6">
        <f>'[1]ÜDM sahələr üzrə'!AE367</f>
        <v>-6.3352037700825701</v>
      </c>
      <c r="L8" s="5">
        <f>'[1]ÜDM sahələr üzrə'!AF367</f>
        <v>2.0214849645445625</v>
      </c>
      <c r="M8" s="5">
        <f>'[1]ÜDM sahələr üzrə'!AG367</f>
        <v>-2.4391455572701761</v>
      </c>
      <c r="N8" s="5">
        <f>'[1]ÜDM sahələr üzrə'!AH367</f>
        <v>-1.9643522864166842</v>
      </c>
      <c r="O8" s="5">
        <f>'[1]ÜDM sahələr üzrə'!AI367</f>
        <v>0.25228337875894058</v>
      </c>
      <c r="P8" s="59">
        <f>'[1]ÜDM sahələr üzrə'!AJ367</f>
        <v>-0.19901236074376355</v>
      </c>
      <c r="Q8" s="5">
        <f>'[1]ÜDM sahələr üzrə'!AK367</f>
        <v>-2.41385501340006</v>
      </c>
      <c r="R8" s="5">
        <f>'[1]ÜDM sahələr üzrə'!AL367</f>
        <v>-1.2634050552060903</v>
      </c>
      <c r="S8" s="5">
        <f>'[1]ÜDM sahələr üzrə'!AM367</f>
        <v>-3.2096868300091179</v>
      </c>
      <c r="T8" s="6">
        <f>'[1]ÜDM sahələr üzrə'!AN367</f>
        <v>4.6551204323813939</v>
      </c>
      <c r="U8" s="6">
        <f>'[1]ÜDM sahələr üzrə'!AO367</f>
        <v>-1.0913632743561283</v>
      </c>
    </row>
    <row r="9" spans="1:21" customFormat="1" ht="14">
      <c r="A9" s="2"/>
      <c r="B9" s="3" t="s">
        <v>56</v>
      </c>
      <c r="C9" s="153" t="s">
        <v>6</v>
      </c>
      <c r="D9" s="59">
        <v>-2.9885859554060943</v>
      </c>
      <c r="E9" s="5">
        <v>-5.9260039650046021</v>
      </c>
      <c r="F9" s="5">
        <v>-28.725454800350121</v>
      </c>
      <c r="G9" s="5">
        <v>24.267518755681891</v>
      </c>
      <c r="H9" s="59">
        <v>34.011895079578238</v>
      </c>
      <c r="I9" s="59">
        <f>'[1]ÜDM sahələr üzrə'!AC368</f>
        <v>27.579676512979063</v>
      </c>
      <c r="J9" s="5">
        <f>'[1]ÜDM sahələr üzrə'!AD368</f>
        <v>-6.8204719301126886</v>
      </c>
      <c r="K9" s="6">
        <f>'[1]ÜDM sahələr üzrə'!AE368</f>
        <v>-26.719497152564259</v>
      </c>
      <c r="L9" s="5">
        <f>'[1]ÜDM sahələr üzrə'!AF368</f>
        <v>63.484939402627475</v>
      </c>
      <c r="M9" s="5">
        <f>'[1]ÜDM sahələr üzrə'!AG368</f>
        <v>83.987625348877941</v>
      </c>
      <c r="N9" s="5">
        <f>'[1]ÜDM sahələr üzrə'!AH368</f>
        <v>-29.880832820031216</v>
      </c>
      <c r="O9" s="5">
        <f>'[1]ÜDM sahələr üzrə'!AI368</f>
        <v>-8.1918596431628714</v>
      </c>
      <c r="P9" s="59">
        <f>'[1]ÜDM sahələr üzrə'!AJ368</f>
        <v>-10.346784617262259</v>
      </c>
      <c r="Q9" s="5">
        <f>'[1]ÜDM sahələr üzrə'!AK368</f>
        <v>-8.8127746566814551</v>
      </c>
      <c r="R9" s="5">
        <f>'[1]ÜDM sahələr üzrə'!AL368</f>
        <v>-0.37507745374367119</v>
      </c>
      <c r="S9" s="5">
        <f>'[1]ÜDM sahələr üzrə'!AM368</f>
        <v>-0.13413333090259982</v>
      </c>
      <c r="T9" s="6">
        <f>'[1]ÜDM sahələr üzrə'!AN368</f>
        <v>0.6197361094216518</v>
      </c>
      <c r="U9" s="6">
        <f>'[1]ÜDM sahələr üzrə'!AO368</f>
        <v>1.1990833995223227</v>
      </c>
    </row>
    <row r="10" spans="1:21" customFormat="1" ht="14">
      <c r="A10" s="7"/>
      <c r="B10" s="8" t="s">
        <v>57</v>
      </c>
      <c r="C10" s="154" t="s">
        <v>6</v>
      </c>
      <c r="D10" s="60">
        <v>42.914303392801898</v>
      </c>
      <c r="E10" s="10">
        <v>38.677028032283808</v>
      </c>
      <c r="F10" s="10">
        <v>30.267801154470675</v>
      </c>
      <c r="G10" s="10">
        <v>33.842469698072989</v>
      </c>
      <c r="H10" s="59">
        <v>37.001484632031563</v>
      </c>
      <c r="I10" s="60">
        <f t="shared" ref="I10:O10" si="1">I7/I4*100</f>
        <v>41.688807870948416</v>
      </c>
      <c r="J10" s="10">
        <f t="shared" si="1"/>
        <v>38.153174384159463</v>
      </c>
      <c r="K10" s="11">
        <f t="shared" si="1"/>
        <v>29.549740210890064</v>
      </c>
      <c r="L10" s="10">
        <f t="shared" si="1"/>
        <v>38.379368948705626</v>
      </c>
      <c r="M10" s="10">
        <f t="shared" si="1"/>
        <v>47.926601450631637</v>
      </c>
      <c r="N10" s="10">
        <f t="shared" si="1"/>
        <v>35.847203545585607</v>
      </c>
      <c r="O10" s="10">
        <f t="shared" si="1"/>
        <v>32.155739661842354</v>
      </c>
      <c r="P10" s="60">
        <f t="shared" ref="P10:U10" si="2">P7/P4*100</f>
        <v>28.367737567433409</v>
      </c>
      <c r="Q10" s="10">
        <f t="shared" si="2"/>
        <v>24.870319518993007</v>
      </c>
      <c r="R10" s="10">
        <f t="shared" si="2"/>
        <v>23.152560534755899</v>
      </c>
      <c r="S10" s="10">
        <f t="shared" si="2"/>
        <v>20.965129571029006</v>
      </c>
      <c r="T10" s="11">
        <f t="shared" si="2"/>
        <v>20.320658817607857</v>
      </c>
      <c r="U10" s="11">
        <f t="shared" si="2"/>
        <v>19.250306155654915</v>
      </c>
    </row>
    <row r="11" spans="1:21" customFormat="1" ht="28">
      <c r="A11" s="116" t="s">
        <v>17</v>
      </c>
      <c r="B11" s="108" t="s">
        <v>403</v>
      </c>
      <c r="C11" s="152" t="s">
        <v>12</v>
      </c>
      <c r="D11" s="118">
        <v>33213.650800000003</v>
      </c>
      <c r="E11" s="119">
        <v>36189.121000000006</v>
      </c>
      <c r="F11" s="119">
        <v>37920.535103406546</v>
      </c>
      <c r="G11" s="119">
        <v>40008.562136636276</v>
      </c>
      <c r="H11" s="118">
        <v>44311.786330000003</v>
      </c>
      <c r="I11" s="118">
        <f>'[1]ÜDM sahələr üzrə'!AC363</f>
        <v>46702.58</v>
      </c>
      <c r="J11" s="119">
        <f>'[1]ÜDM sahələr üzrə'!AD363</f>
        <v>50650.200000000004</v>
      </c>
      <c r="K11" s="121">
        <f>'[1]ÜDM sahələr üzrə'!AE363</f>
        <v>51131.45</v>
      </c>
      <c r="L11" s="119">
        <f>'[1]ÜDM sahələr üzrə'!AF363</f>
        <v>57432.429999999993</v>
      </c>
      <c r="M11" s="119">
        <f>'[1]ÜDM sahələr üzrə'!AG363</f>
        <v>69764.125</v>
      </c>
      <c r="N11" s="119">
        <f>'[1]ÜDM sahələr üzrə'!AH363</f>
        <v>78990.332999999999</v>
      </c>
      <c r="O11" s="119">
        <f>'[1]ÜDM sahələr üzrə'!AI363</f>
        <v>85712.409899999999</v>
      </c>
      <c r="P11" s="118">
        <f>'[1]ÜDM sahələr üzrə'!AJ363</f>
        <v>91785.435845364758</v>
      </c>
      <c r="Q11" s="119">
        <f>'[1]ÜDM sahələr üzrə'!AK363</f>
        <v>97710.705083901645</v>
      </c>
      <c r="R11" s="119">
        <f>'[1]ÜDM sahələr üzrə'!AL363</f>
        <v>105605.97391496637</v>
      </c>
      <c r="S11" s="119">
        <f>'[1]ÜDM sahələr üzrə'!AM363</f>
        <v>115938.66040886604</v>
      </c>
      <c r="T11" s="121">
        <f>'[1]ÜDM sahələr üzrə'!AN363</f>
        <v>126986.83219743769</v>
      </c>
      <c r="U11" s="121">
        <f>'[1]ÜDM sahələr üzrə'!AO363</f>
        <v>135976.78777658584</v>
      </c>
    </row>
    <row r="12" spans="1:21" customFormat="1" ht="14">
      <c r="A12" s="2"/>
      <c r="B12" s="3" t="s">
        <v>55</v>
      </c>
      <c r="C12" s="153" t="s">
        <v>6</v>
      </c>
      <c r="D12" s="59">
        <v>10.176893050871172</v>
      </c>
      <c r="E12" s="5">
        <v>6.9700734308867567</v>
      </c>
      <c r="F12" s="5">
        <v>0.7312801778664948</v>
      </c>
      <c r="G12" s="5">
        <v>-4.4836612622064536</v>
      </c>
      <c r="H12" s="59">
        <v>2.837087788430054</v>
      </c>
      <c r="I12" s="59">
        <f>'[1]ÜDM sahələr üzrə'!AC364</f>
        <v>1.9983642368398464</v>
      </c>
      <c r="J12" s="5">
        <f>'[1]ÜDM sahələr üzrə'!AD364</f>
        <v>3.9551682230831799</v>
      </c>
      <c r="K12" s="6">
        <f>'[1]ÜDM sahələr üzrə'!AE364</f>
        <v>-2.9486197468124518</v>
      </c>
      <c r="L12" s="5">
        <f>'[1]ÜDM sahələr üzrə'!AF364</f>
        <v>7.1321751524746553</v>
      </c>
      <c r="M12" s="5">
        <f>'[1]ÜDM sahələr üzrə'!AG364</f>
        <v>9.0965141675182473</v>
      </c>
      <c r="N12" s="5">
        <f>'[1]ÜDM sahələr üzrə'!AH364</f>
        <v>4.5336023512801189</v>
      </c>
      <c r="O12" s="5">
        <f>'[1]ÜDM sahələr üzrə'!AI364</f>
        <v>6.1970717720610171</v>
      </c>
      <c r="P12" s="59">
        <f>'[1]ÜDM sahələr üzrə'!AJ364</f>
        <v>4.6704519585228184</v>
      </c>
      <c r="Q12" s="5">
        <f>'[1]ÜDM sahələr üzrə'!AK364</f>
        <v>4.4187503027535993</v>
      </c>
      <c r="R12" s="5">
        <f>'[1]ÜDM sahələr üzrə'!AL364</f>
        <v>3.9167845435798565</v>
      </c>
      <c r="S12" s="5">
        <f>'[1]ÜDM sahələr üzrə'!AM364</f>
        <v>3.9760360529560299</v>
      </c>
      <c r="T12" s="6">
        <f>'[1]ÜDM sahələr üzrə'!AN364</f>
        <v>3.5619798851742197</v>
      </c>
      <c r="U12" s="6">
        <f>'[1]ÜDM sahələr üzrə'!AO364</f>
        <v>1.4961980811331075</v>
      </c>
    </row>
    <row r="13" spans="1:21" customFormat="1" ht="14">
      <c r="A13" s="2"/>
      <c r="B13" s="3" t="s">
        <v>56</v>
      </c>
      <c r="C13" s="153" t="s">
        <v>6</v>
      </c>
      <c r="D13" s="59">
        <v>3.0200934839642741</v>
      </c>
      <c r="E13" s="5">
        <v>1.9589336793045846</v>
      </c>
      <c r="F13" s="5">
        <v>4.0236454047581844</v>
      </c>
      <c r="G13" s="5">
        <v>10.458926814524474</v>
      </c>
      <c r="H13" s="59">
        <v>7.7002087072829397</v>
      </c>
      <c r="I13" s="59">
        <f>'[1]ÜDM sahələr üzrə'!AC365</f>
        <v>3.3304389073974221</v>
      </c>
      <c r="J13" s="5">
        <f>'[1]ÜDM sahələr üzrə'!AD365</f>
        <v>4.3263962980018391</v>
      </c>
      <c r="K13" s="6">
        <f>'[1]ÜDM sahələr üzrə'!AE365</f>
        <v>4.0172165092986774</v>
      </c>
      <c r="L13" s="5">
        <f>'[1]ÜDM sahələr üzrə'!AF365</f>
        <v>4.845346785521798</v>
      </c>
      <c r="M13" s="5">
        <f>'[1]ÜDM sahələr üzrə'!AG365</f>
        <v>11.343299107923954</v>
      </c>
      <c r="N13" s="5">
        <f>'[1]ÜDM sahələr üzrə'!AH365</f>
        <v>8.314319655870321</v>
      </c>
      <c r="O13" s="5">
        <f>'[1]ÜDM sahələr üzrə'!AI365</f>
        <v>2.1779580495641113</v>
      </c>
      <c r="P13" s="59">
        <f>'[1]ÜDM sahələr üzrə'!AJ365</f>
        <v>2.3071458964166567</v>
      </c>
      <c r="Q13" s="5">
        <f>'[1]ÜDM sahələr üzrə'!AK365</f>
        <v>1.9506223997050256</v>
      </c>
      <c r="R13" s="5">
        <f>'[1]ÜDM sahələr üzrə'!AL365</f>
        <v>4.0065375853109515</v>
      </c>
      <c r="S13" s="5">
        <f>'[1]ÜDM sahələr üzrə'!AM365</f>
        <v>5.5860481536505517</v>
      </c>
      <c r="T13" s="6">
        <f>'[1]ÜDM sahələr üzrə'!AN365</f>
        <v>5.7621002937974453</v>
      </c>
      <c r="U13" s="6">
        <f>'[1]ÜDM sahələr üzrə'!AO365</f>
        <v>5.5009362180855561</v>
      </c>
    </row>
    <row r="14" spans="1:21" customFormat="1" ht="14">
      <c r="A14" s="7"/>
      <c r="B14" s="8" t="s">
        <v>57</v>
      </c>
      <c r="C14" s="154" t="s">
        <v>6</v>
      </c>
      <c r="D14" s="60">
        <v>57.085783919425261</v>
      </c>
      <c r="E14" s="10">
        <v>61.322838101402901</v>
      </c>
      <c r="F14" s="10">
        <v>69.732631180650472</v>
      </c>
      <c r="G14" s="10">
        <v>66.211716529918448</v>
      </c>
      <c r="H14" s="60">
        <v>62.998515367968444</v>
      </c>
      <c r="I14" s="60">
        <f t="shared" ref="I14:O14" si="3">I11/I4*100</f>
        <v>58.311167157768573</v>
      </c>
      <c r="J14" s="10">
        <f t="shared" si="3"/>
        <v>61.846825615840551</v>
      </c>
      <c r="K14" s="11">
        <f t="shared" si="3"/>
        <v>70.450246010849</v>
      </c>
      <c r="L14" s="10">
        <f t="shared" si="3"/>
        <v>61.620663239030407</v>
      </c>
      <c r="M14" s="10">
        <f t="shared" si="3"/>
        <v>52.073398549368378</v>
      </c>
      <c r="N14" s="10">
        <f t="shared" si="3"/>
        <v>64.152796454414386</v>
      </c>
      <c r="O14" s="10">
        <f t="shared" si="3"/>
        <v>67.844260338157653</v>
      </c>
      <c r="P14" s="60">
        <f t="shared" ref="P14:U14" si="4">P11/P4*100</f>
        <v>71.632262432566591</v>
      </c>
      <c r="Q14" s="10">
        <f t="shared" si="4"/>
        <v>75.129680481006986</v>
      </c>
      <c r="R14" s="10">
        <f t="shared" si="4"/>
        <v>76.847439465244108</v>
      </c>
      <c r="S14" s="10">
        <f t="shared" si="4"/>
        <v>79.03487042897099</v>
      </c>
      <c r="T14" s="11">
        <f t="shared" si="4"/>
        <v>79.679341182392136</v>
      </c>
      <c r="U14" s="11">
        <f t="shared" si="4"/>
        <v>80.749693844345089</v>
      </c>
    </row>
    <row r="15" spans="1:21" customFormat="1" ht="27" customHeight="1">
      <c r="A15" s="243"/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86"/>
      <c r="M15" s="86"/>
      <c r="N15" s="86"/>
      <c r="O15" s="86"/>
      <c r="P15" s="86"/>
      <c r="Q15" s="86"/>
      <c r="R15" s="1"/>
      <c r="S15" s="1"/>
      <c r="T15" s="1"/>
      <c r="U15" s="1"/>
    </row>
    <row r="16" spans="1:21" customFormat="1" ht="14">
      <c r="A16" s="51"/>
      <c r="B16" s="52" t="s">
        <v>14</v>
      </c>
      <c r="C16" s="156"/>
      <c r="D16" s="61"/>
      <c r="E16" s="53"/>
      <c r="F16" s="53"/>
      <c r="G16" s="53"/>
      <c r="H16" s="61"/>
      <c r="I16" s="61"/>
      <c r="J16" s="53"/>
      <c r="K16" s="54"/>
      <c r="L16" s="53"/>
      <c r="M16" s="53"/>
      <c r="N16" s="53"/>
      <c r="O16" s="53"/>
      <c r="P16" s="53"/>
      <c r="Q16" s="53"/>
      <c r="R16" s="53"/>
      <c r="S16" s="53"/>
      <c r="T16" s="53"/>
      <c r="U16" s="53"/>
    </row>
    <row r="17" spans="1:21" customFormat="1" ht="28">
      <c r="A17" s="47"/>
      <c r="B17" s="42" t="s">
        <v>28</v>
      </c>
      <c r="C17" s="157" t="s">
        <v>30</v>
      </c>
      <c r="D17" s="62">
        <v>9477.1</v>
      </c>
      <c r="E17" s="42">
        <v>9593</v>
      </c>
      <c r="F17" s="42">
        <v>9705.6</v>
      </c>
      <c r="G17" s="42">
        <v>9810</v>
      </c>
      <c r="H17" s="62">
        <v>9898.0999999999985</v>
      </c>
      <c r="I17" s="62">
        <f>[2]add9!AC5</f>
        <v>9951.4</v>
      </c>
      <c r="J17" s="42">
        <f>[2]add9!AD5</f>
        <v>9974</v>
      </c>
      <c r="K17" s="43">
        <f>[2]add9!AE5</f>
        <v>10026.099999999999</v>
      </c>
      <c r="L17" s="42">
        <f>[2]add9!AF5</f>
        <v>10063.299999999999</v>
      </c>
      <c r="M17" s="42">
        <f>[2]add9!AG5</f>
        <v>10127.145</v>
      </c>
      <c r="N17" s="42">
        <f>[2]add9!AH5</f>
        <v>10180.799999999999</v>
      </c>
      <c r="O17" s="42">
        <f>[2]add9!AI5</f>
        <v>10224.899999999998</v>
      </c>
      <c r="P17" s="42">
        <f>[2]add9!AJ5</f>
        <v>10269.4</v>
      </c>
      <c r="Q17" s="42">
        <f>[2]add9!AK5</f>
        <v>10313.299999999999</v>
      </c>
      <c r="R17" s="42">
        <f>[2]add9!AL5</f>
        <v>10356.199999999999</v>
      </c>
      <c r="S17" s="42">
        <f>[2]add9!AM5</f>
        <v>10396.300000000003</v>
      </c>
      <c r="T17" s="42">
        <f>[2]add9!AN5</f>
        <v>10435.5</v>
      </c>
      <c r="U17" s="42">
        <f>[2]add9!AO5</f>
        <v>10488.800000000001</v>
      </c>
    </row>
    <row r="18" spans="1:21" customFormat="1" ht="28">
      <c r="A18" s="47"/>
      <c r="B18" s="42" t="s">
        <v>29</v>
      </c>
      <c r="C18" s="157" t="s">
        <v>30</v>
      </c>
      <c r="D18" s="62">
        <v>9296.7999999999993</v>
      </c>
      <c r="E18" s="42">
        <v>9415.0499999999993</v>
      </c>
      <c r="F18" s="42">
        <v>9529.2999999999993</v>
      </c>
      <c r="G18" s="42">
        <v>9637.7999999999993</v>
      </c>
      <c r="H18" s="62">
        <v>9734.0499999999993</v>
      </c>
      <c r="I18" s="62">
        <f>([2]add9!AC6+[2]add9!AB6)/2</f>
        <v>9804.75</v>
      </c>
      <c r="J18" s="42">
        <f>([2]add9!AD6+[2]add9!AC6)/2</f>
        <v>9902.7000000000007</v>
      </c>
      <c r="K18" s="43">
        <f>([2]add9!AE6+[2]add9!AD6)/2</f>
        <v>10000.049999999999</v>
      </c>
      <c r="L18" s="42">
        <f>([2]add9!AF6+[2]add9!AE6)/2</f>
        <v>10044.699999999999</v>
      </c>
      <c r="M18" s="42">
        <f>([2]add9!AG6+[2]add9!AF6)/2</f>
        <v>10095.2225</v>
      </c>
      <c r="N18" s="42">
        <f>([2]add9!AH6+[2]add9!AG6)/2</f>
        <v>10153.9725</v>
      </c>
      <c r="O18" s="42">
        <f>([2]add9!AI6+[2]add9!AH6)/2</f>
        <v>10202.849999999999</v>
      </c>
      <c r="P18" s="42">
        <f>([2]add9!AJ6+[2]add9!AI6)/2</f>
        <v>10247.149999999998</v>
      </c>
      <c r="Q18" s="42">
        <f>([2]add9!AK6+[2]add9!AJ6)/2</f>
        <v>10291.349999999999</v>
      </c>
      <c r="R18" s="42">
        <f>([2]add9!AL6+[2]add9!AK6)/2</f>
        <v>10334.75</v>
      </c>
      <c r="S18" s="42">
        <f>([2]add9!AM6+[2]add9!AL6)/2</f>
        <v>10376.25</v>
      </c>
      <c r="T18" s="42">
        <f>([2]add9!AN6+[2]add9!AM6)/2</f>
        <v>10415.900000000001</v>
      </c>
      <c r="U18" s="42">
        <f>([2]add9!AO6+[2]add9!AN6)/2</f>
        <v>10462.150000000001</v>
      </c>
    </row>
    <row r="19" spans="1:21" customFormat="1" ht="28">
      <c r="A19" s="51"/>
      <c r="B19" s="53" t="s">
        <v>7</v>
      </c>
      <c r="C19" s="156"/>
      <c r="D19" s="61"/>
      <c r="E19" s="53"/>
      <c r="F19" s="53"/>
      <c r="G19" s="53"/>
      <c r="H19" s="61"/>
      <c r="I19" s="61"/>
      <c r="J19" s="53"/>
      <c r="K19" s="54"/>
      <c r="L19" s="53"/>
      <c r="M19" s="53"/>
      <c r="N19" s="53"/>
      <c r="O19" s="53"/>
      <c r="P19" s="53"/>
      <c r="Q19" s="53"/>
      <c r="R19" s="53"/>
      <c r="S19" s="53"/>
      <c r="T19" s="53"/>
      <c r="U19" s="53"/>
    </row>
    <row r="20" spans="1:21" customFormat="1" ht="12.75" customHeight="1">
      <c r="A20" s="49"/>
      <c r="B20" s="41" t="s">
        <v>10</v>
      </c>
      <c r="C20" s="157" t="s">
        <v>4</v>
      </c>
      <c r="D20" s="62">
        <f t="shared" ref="D20:O20" si="5">D4/D18*1000</f>
        <v>6258.2824197573364</v>
      </c>
      <c r="E20" s="42">
        <f t="shared" si="5"/>
        <v>6268.0601802433339</v>
      </c>
      <c r="F20" s="42">
        <f t="shared" si="5"/>
        <v>5706.5996453044827</v>
      </c>
      <c r="G20" s="42">
        <f t="shared" si="5"/>
        <v>6269.6050965988088</v>
      </c>
      <c r="H20" s="62">
        <f t="shared" si="5"/>
        <v>7225.956958306153</v>
      </c>
      <c r="I20" s="62">
        <f t="shared" si="5"/>
        <v>8168.6937453785158</v>
      </c>
      <c r="J20" s="42">
        <f t="shared" si="5"/>
        <v>8270.0879558100296</v>
      </c>
      <c r="K20" s="43">
        <f t="shared" si="5"/>
        <v>7257.7737111314436</v>
      </c>
      <c r="L20" s="42">
        <f t="shared" si="5"/>
        <v>9278.8435692454732</v>
      </c>
      <c r="M20" s="42">
        <f t="shared" si="5"/>
        <v>13270.89868499679</v>
      </c>
      <c r="N20" s="42">
        <f t="shared" si="5"/>
        <v>12126.134180489458</v>
      </c>
      <c r="O20" s="42">
        <f t="shared" si="5"/>
        <v>12382.521540549948</v>
      </c>
      <c r="P20" s="42">
        <f t="shared" ref="P20:U20" si="6">P4/P18*1000</f>
        <v>12504.375672467997</v>
      </c>
      <c r="Q20" s="42">
        <f t="shared" si="6"/>
        <v>12637.415273338147</v>
      </c>
      <c r="R20" s="42">
        <f t="shared" si="6"/>
        <v>13297.166571640788</v>
      </c>
      <c r="S20" s="42">
        <f t="shared" si="6"/>
        <v>14137.385663616624</v>
      </c>
      <c r="T20" s="42">
        <f t="shared" si="6"/>
        <v>15300.870983922412</v>
      </c>
      <c r="U20" s="42">
        <f t="shared" si="6"/>
        <v>16095.443602825488</v>
      </c>
    </row>
    <row r="21" spans="1:21" customFormat="1" ht="14">
      <c r="A21" s="49"/>
      <c r="B21" s="41" t="s">
        <v>11</v>
      </c>
      <c r="C21" s="157" t="s">
        <v>5</v>
      </c>
      <c r="D21" s="62" t="e">
        <f>D20/D30</f>
        <v>#REF!</v>
      </c>
      <c r="E21" s="42" t="e">
        <f t="shared" ref="E21:M21" si="7">E20/E30</f>
        <v>#REF!</v>
      </c>
      <c r="F21" s="42" t="e">
        <f t="shared" si="7"/>
        <v>#REF!</v>
      </c>
      <c r="G21" s="42" t="e">
        <f t="shared" si="7"/>
        <v>#REF!</v>
      </c>
      <c r="H21" s="62" t="e">
        <f t="shared" si="7"/>
        <v>#REF!</v>
      </c>
      <c r="I21" s="62" t="e">
        <f t="shared" si="7"/>
        <v>#REF!</v>
      </c>
      <c r="J21" s="42" t="e">
        <f t="shared" si="7"/>
        <v>#REF!</v>
      </c>
      <c r="K21" s="43" t="e">
        <f t="shared" si="7"/>
        <v>#REF!</v>
      </c>
      <c r="L21" s="42" t="e">
        <f t="shared" si="7"/>
        <v>#REF!</v>
      </c>
      <c r="M21" s="42" t="e">
        <f t="shared" si="7"/>
        <v>#REF!</v>
      </c>
      <c r="N21" s="42" t="e">
        <f>N20/N30</f>
        <v>#REF!</v>
      </c>
      <c r="O21" s="42" t="e">
        <f>O20/O30</f>
        <v>#REF!</v>
      </c>
      <c r="P21" s="42">
        <f t="shared" ref="P21:Q21" si="8">P20/1.7</f>
        <v>7355.5151014517633</v>
      </c>
      <c r="Q21" s="42">
        <f t="shared" si="8"/>
        <v>7433.7736901989101</v>
      </c>
      <c r="R21" s="42">
        <f>R20/1.7</f>
        <v>7821.862689200464</v>
      </c>
      <c r="S21" s="42">
        <f>S20/1.7</f>
        <v>8316.1092138921322</v>
      </c>
      <c r="T21" s="42">
        <f>T20/1.7</f>
        <v>9000.5123434837715</v>
      </c>
      <c r="U21" s="42">
        <f>U20/1.7</f>
        <v>9467.9080016620519</v>
      </c>
    </row>
    <row r="22" spans="1:21" customFormat="1" ht="14">
      <c r="A22" s="50"/>
      <c r="B22" s="44" t="s">
        <v>16</v>
      </c>
      <c r="C22" s="158" t="s">
        <v>6</v>
      </c>
      <c r="D22" s="63"/>
      <c r="E22" s="45">
        <f t="shared" ref="E22:U22" si="9">(1+E5/100)/(E18/D18)*100-100</f>
        <v>1.5303294398579368</v>
      </c>
      <c r="F22" s="45">
        <f t="shared" si="9"/>
        <v>-0.30661947864911099</v>
      </c>
      <c r="G22" s="45">
        <f t="shared" si="9"/>
        <v>-4.2238191858932055</v>
      </c>
      <c r="H22" s="62">
        <f t="shared" si="9"/>
        <v>-0.81446585168113472</v>
      </c>
      <c r="I22" s="63">
        <f t="shared" si="9"/>
        <v>0.76810474514901728</v>
      </c>
      <c r="J22" s="45">
        <f t="shared" si="9"/>
        <v>1.4861477172891853</v>
      </c>
      <c r="K22" s="46">
        <f t="shared" si="9"/>
        <v>-5.1326083369583131</v>
      </c>
      <c r="L22" s="45">
        <f t="shared" si="9"/>
        <v>5.1305942437305418</v>
      </c>
      <c r="M22" s="45">
        <f t="shared" si="9"/>
        <v>4.1453767160915902</v>
      </c>
      <c r="N22" s="45">
        <f t="shared" si="9"/>
        <v>0.83254998846594219</v>
      </c>
      <c r="O22" s="45">
        <f t="shared" si="9"/>
        <v>3.5674954331087463</v>
      </c>
      <c r="P22" s="45">
        <f t="shared" si="9"/>
        <v>2.6589025291777943</v>
      </c>
      <c r="Q22" s="45">
        <f t="shared" si="9"/>
        <v>2.0403544584373066</v>
      </c>
      <c r="R22" s="45">
        <f t="shared" si="9"/>
        <v>2.197474414375634</v>
      </c>
      <c r="S22" s="45">
        <f t="shared" si="9"/>
        <v>1.9031570849874555</v>
      </c>
      <c r="T22" s="45">
        <f t="shared" si="9"/>
        <v>3.3960584733101911</v>
      </c>
      <c r="U22" s="45">
        <f t="shared" si="9"/>
        <v>0.52402902545264851</v>
      </c>
    </row>
    <row r="23" spans="1:21" customFormat="1" ht="14">
      <c r="A23" s="55"/>
      <c r="B23" s="56" t="s">
        <v>58</v>
      </c>
      <c r="C23" s="159" t="s">
        <v>12</v>
      </c>
      <c r="D23" s="64">
        <f>'2.4.1.5.-7.'!D30</f>
        <v>37562</v>
      </c>
      <c r="E23" s="57">
        <f>'2.4.1.5.-7.'!E30</f>
        <v>39472.199999999997</v>
      </c>
      <c r="F23" s="57">
        <f>'2.4.1.5.-7.'!F30</f>
        <v>41744.800000000003</v>
      </c>
      <c r="G23" s="57">
        <f>'2.4.1.5.-7.'!G30</f>
        <v>45395.1</v>
      </c>
      <c r="H23" s="61">
        <f>'2.4.1.5.-7.'!H30</f>
        <v>49187.9</v>
      </c>
      <c r="I23" s="64">
        <f>'2.4.1.5.-7.'!I30</f>
        <v>53103.7</v>
      </c>
      <c r="J23" s="57">
        <f>'2.4.1.5.-7.'!J30</f>
        <v>56769</v>
      </c>
      <c r="K23" s="58">
        <f>'2.4.1.5.-7.'!K30</f>
        <v>55754.100000000006</v>
      </c>
      <c r="L23" s="57">
        <f>'2.4.1.5.-7.'!L30</f>
        <v>57206.8</v>
      </c>
      <c r="M23" s="57">
        <f>'2.4.1.5.-7.'!M30</f>
        <v>69163</v>
      </c>
      <c r="N23" s="57">
        <f>'2.4.1.5.-7.'!N30</f>
        <v>78124.2</v>
      </c>
      <c r="O23" s="57">
        <f>'2.4.1.5.-7.'!O30</f>
        <v>83093.399999999994</v>
      </c>
      <c r="P23" s="57">
        <f>'2.4.1.5.-7.'!P30</f>
        <v>89901.523433857743</v>
      </c>
      <c r="Q23" s="57">
        <f>'2.4.1.5.-7.'!Q30</f>
        <v>96942.287111720812</v>
      </c>
      <c r="R23" s="57">
        <f>'2.4.1.5.-7.'!R30</f>
        <v>106100.77128414609</v>
      </c>
      <c r="S23" s="57">
        <f>'2.4.1.5.-7.'!S30</f>
        <v>116811.34114787738</v>
      </c>
      <c r="T23" s="57">
        <f>'2.4.1.5.-7.'!T30</f>
        <v>128573.35292297025</v>
      </c>
      <c r="U23" s="57">
        <f>'2.4.1.5.-7.'!U30</f>
        <v>140165.60367535069</v>
      </c>
    </row>
    <row r="24" spans="1:21" customFormat="1" ht="14">
      <c r="A24" s="48"/>
      <c r="B24" s="44" t="s">
        <v>16</v>
      </c>
      <c r="C24" s="158" t="s">
        <v>6</v>
      </c>
      <c r="D24" s="63">
        <f>'2.4.1.5.-7.'!D31</f>
        <v>5.2923622791308134</v>
      </c>
      <c r="E24" s="45">
        <f>'2.4.1.5.-7.'!E31</f>
        <v>3.7450757356048912</v>
      </c>
      <c r="F24" s="45">
        <f>'2.4.1.5.-7.'!F31</f>
        <v>1.6808443209526303</v>
      </c>
      <c r="G24" s="45">
        <f>'2.4.1.5.-7.'!G31</f>
        <v>-3.2911345403907006</v>
      </c>
      <c r="H24" s="62">
        <f>'2.4.1.5.-7.'!H31</f>
        <v>-4.0568380727700912</v>
      </c>
      <c r="I24" s="63">
        <f>'2.4.1.5.-7.'!I31</f>
        <v>5.5336275203159602</v>
      </c>
      <c r="J24" s="45">
        <f>'2.4.1.5.-7.'!J31</f>
        <v>4.1931341068986541</v>
      </c>
      <c r="K24" s="46">
        <f>'2.4.1.5.-7.'!K31</f>
        <v>-4.4255169968892289</v>
      </c>
      <c r="L24" s="45">
        <f>'2.4.1.5.-7.'!L31</f>
        <v>-3.8373493050461178</v>
      </c>
      <c r="M24" s="45">
        <f>'2.4.1.5.-7.'!M31</f>
        <v>6.1457093428169287</v>
      </c>
      <c r="N24" s="45">
        <f>'2.4.1.5.-7.'!N31</f>
        <v>3.8204399496160306</v>
      </c>
      <c r="O24" s="45">
        <f>'2.4.1.5.-7.'!O31</f>
        <v>4.0710774295158387</v>
      </c>
      <c r="P24" s="45">
        <f>'2.4.1.5.-7.'!P31</f>
        <v>6.3405958958599626</v>
      </c>
      <c r="Q24" s="45">
        <f>'2.4.1.5.-7.'!Q31</f>
        <v>4.978357701133703</v>
      </c>
      <c r="R24" s="45">
        <f>'2.4.1.5.-7.'!R31</f>
        <v>4.1707865588462028</v>
      </c>
      <c r="S24" s="45">
        <f>'2.4.1.5.-7.'!S31</f>
        <v>3.1795251043186283</v>
      </c>
      <c r="T24" s="45">
        <f>'2.4.1.5.-7.'!T31</f>
        <v>2.8048378132728828</v>
      </c>
      <c r="U24" s="45">
        <f>'2.4.1.5.-7.'!U31</f>
        <v>1.6907042801503422</v>
      </c>
    </row>
    <row r="25" spans="1:21" customFormat="1" ht="14">
      <c r="A25" s="55"/>
      <c r="B25" s="56" t="s">
        <v>59</v>
      </c>
      <c r="C25" s="159" t="s">
        <v>15</v>
      </c>
      <c r="D25" s="64">
        <f>'2.4.1.5.-7.'!D32</f>
        <v>28021.200000000001</v>
      </c>
      <c r="E25" s="57">
        <f>'2.4.1.5.-7.'!E32</f>
        <v>30799.599999999999</v>
      </c>
      <c r="F25" s="57">
        <f>'2.4.1.5.-7.'!F32</f>
        <v>34963.4</v>
      </c>
      <c r="G25" s="57">
        <f>'2.4.1.5.-7.'!G32</f>
        <v>39775</v>
      </c>
      <c r="H25" s="61">
        <f>'2.4.1.5.-7.'!H32</f>
        <v>44498.400000000001</v>
      </c>
      <c r="I25" s="64">
        <f>'2.4.1.5.-7.'!I32</f>
        <v>47557.2</v>
      </c>
      <c r="J25" s="57">
        <f>'2.4.1.5.-7.'!J32</f>
        <v>51927.4</v>
      </c>
      <c r="K25" s="58">
        <f>'2.4.1.5.-7.'!K32</f>
        <v>49826.400000000001</v>
      </c>
      <c r="L25" s="57">
        <f>'2.4.1.5.-7.'!L32</f>
        <v>55379.100000000006</v>
      </c>
      <c r="M25" s="57">
        <f>'2.4.1.5.-7.'!M32</f>
        <v>66465.7</v>
      </c>
      <c r="N25" s="57">
        <f>'2.4.1.5.-7.'!N32</f>
        <v>76442.899999999994</v>
      </c>
      <c r="O25" s="57">
        <f>'2.4.1.5.-7.'!O32</f>
        <v>81090.200000000012</v>
      </c>
      <c r="P25" s="57">
        <f>'2.4.1.5.-7.'!P32</f>
        <v>86280.934943786691</v>
      </c>
      <c r="Q25" s="57">
        <f>'2.4.1.5.-7.'!Q32</f>
        <v>92937.551932650254</v>
      </c>
      <c r="R25" s="57">
        <f>'2.4.1.5.-7.'!R32</f>
        <v>101689.34515062638</v>
      </c>
      <c r="S25" s="57">
        <f>'2.4.1.5.-7.'!S32</f>
        <v>112387.62217473636</v>
      </c>
      <c r="T25" s="57">
        <f>'2.4.1.5.-7.'!T32</f>
        <v>123906.01402224151</v>
      </c>
      <c r="U25" s="57">
        <f>'2.4.1.5.-7.'!U32</f>
        <v>134654.98237326808</v>
      </c>
    </row>
    <row r="26" spans="1:21" customFormat="1" ht="14">
      <c r="A26" s="48"/>
      <c r="B26" s="44" t="s">
        <v>16</v>
      </c>
      <c r="C26" s="158" t="s">
        <v>6</v>
      </c>
      <c r="D26" s="63">
        <f>'2.4.1.5.-7.'!D33</f>
        <v>9.7382305854385436</v>
      </c>
      <c r="E26" s="45">
        <f>'2.4.1.5.-7.'!E33</f>
        <v>8.5087645925795297</v>
      </c>
      <c r="F26" s="45">
        <f>'2.4.1.5.-7.'!F33</f>
        <v>9.1431978479951397</v>
      </c>
      <c r="G26" s="45">
        <f>'2.4.1.5.-7.'!G33</f>
        <v>1.171042579592779</v>
      </c>
      <c r="H26" s="62">
        <f>'2.4.1.5.-7.'!H33</f>
        <v>-0.93986167529808995</v>
      </c>
      <c r="I26" s="63">
        <f>'2.4.1.5.-7.'!I33</f>
        <v>4.4711192752760809</v>
      </c>
      <c r="J26" s="45">
        <f>'2.4.1.5.-7.'!J33</f>
        <v>6.4223734253885425</v>
      </c>
      <c r="K26" s="46">
        <f>'2.4.1.5.-7.'!K33</f>
        <v>-6.6231274875316473</v>
      </c>
      <c r="L26" s="45">
        <f>'2.4.1.5.-7.'!L33</f>
        <v>4.1650349469779115</v>
      </c>
      <c r="M26" s="45">
        <f>'2.4.1.5.-7.'!M33</f>
        <v>5.3726653444783778</v>
      </c>
      <c r="N26" s="45">
        <f>'2.4.1.5.-7.'!N33</f>
        <v>5.7086864087084308</v>
      </c>
      <c r="O26" s="45">
        <f>'2.4.1.5.-7.'!O33</f>
        <v>3.7959292430079756</v>
      </c>
      <c r="P26" s="45">
        <f>'2.4.1.5.-7.'!P33</f>
        <v>4.5791334931156484</v>
      </c>
      <c r="Q26" s="45">
        <f>'2.4.1.5.-7.'!Q33</f>
        <v>4.8648524068398444</v>
      </c>
      <c r="R26" s="45">
        <f>'2.4.1.5.-7.'!R33</f>
        <v>4.1417535518620383</v>
      </c>
      <c r="S26" s="45">
        <f>'2.4.1.5.-7.'!S33</f>
        <v>3.5786121350744224</v>
      </c>
      <c r="T26" s="45">
        <f>'2.4.1.5.-7.'!T33</f>
        <v>2.9725568061935661</v>
      </c>
      <c r="U26" s="45">
        <f>'2.4.1.5.-7.'!U33</f>
        <v>1.3726533660982625</v>
      </c>
    </row>
    <row r="27" spans="1:21" customFormat="1" ht="14">
      <c r="A27" s="51"/>
      <c r="B27" s="52" t="s">
        <v>60</v>
      </c>
      <c r="C27" s="156" t="s">
        <v>61</v>
      </c>
      <c r="D27" s="61">
        <f>'2.4.1.5.-7.'!D4</f>
        <v>104.94</v>
      </c>
      <c r="E27" s="53">
        <f>'2.4.1.5.-7.'!E4</f>
        <v>94.76</v>
      </c>
      <c r="F27" s="53">
        <f>'2.4.1.5.-7.'!F4</f>
        <v>52.292256937840413</v>
      </c>
      <c r="G27" s="53">
        <f>'2.4.1.5.-7.'!G4</f>
        <v>43.477243273102104</v>
      </c>
      <c r="H27" s="61">
        <f>'2.4.1.5.-7.'!H4</f>
        <v>55.174565615453474</v>
      </c>
      <c r="I27" s="61">
        <f>'2.4.1.5.-7.'!I4</f>
        <v>71.530797199115113</v>
      </c>
      <c r="J27" s="53">
        <f>'2.4.1.5.-7.'!J4</f>
        <v>64.03</v>
      </c>
      <c r="K27" s="54">
        <f>'2.4.1.5.-7.'!K4</f>
        <v>42.3</v>
      </c>
      <c r="L27" s="53">
        <f>'2.4.1.5.-7.'!L4</f>
        <v>70.44</v>
      </c>
      <c r="M27" s="53">
        <f>'2.4.1.5.-7.'!M4</f>
        <v>99.82</v>
      </c>
      <c r="N27" s="53">
        <f>'2.4.1.5.-7.'!N4</f>
        <v>82.62</v>
      </c>
      <c r="O27" s="53">
        <f>'2.4.1.5.-7.'!O4</f>
        <v>80.7</v>
      </c>
      <c r="P27" s="53">
        <f>'2.4.1.5.-7.'!P4</f>
        <v>70</v>
      </c>
      <c r="Q27" s="53">
        <f>'2.4.1.5.-7.'!Q4</f>
        <v>65</v>
      </c>
      <c r="R27" s="53">
        <f>'2.4.1.5.-7.'!R4</f>
        <v>65</v>
      </c>
      <c r="S27" s="53">
        <f>'2.4.1.5.-7.'!S4</f>
        <v>65</v>
      </c>
      <c r="T27" s="53">
        <f>'2.4.1.5.-7.'!T4</f>
        <v>65</v>
      </c>
      <c r="U27" s="53">
        <f>'2.4.1.5.-7.'!U4</f>
        <v>65</v>
      </c>
    </row>
    <row r="28" spans="1:21" customFormat="1" ht="14">
      <c r="A28" s="55"/>
      <c r="B28" s="85" t="s">
        <v>8</v>
      </c>
      <c r="C28" s="160" t="s">
        <v>6</v>
      </c>
      <c r="D28" s="64" t="e">
        <f>#REF!</f>
        <v>#REF!</v>
      </c>
      <c r="E28" s="57" t="e">
        <f>#REF!</f>
        <v>#REF!</v>
      </c>
      <c r="F28" s="57" t="e">
        <f>#REF!</f>
        <v>#REF!</v>
      </c>
      <c r="G28" s="57" t="e">
        <f>#REF!</f>
        <v>#REF!</v>
      </c>
      <c r="H28" s="64" t="e">
        <f>#REF!</f>
        <v>#REF!</v>
      </c>
      <c r="I28" s="64" t="e">
        <f>#REF!</f>
        <v>#REF!</v>
      </c>
      <c r="J28" s="57" t="e">
        <f>#REF!</f>
        <v>#REF!</v>
      </c>
      <c r="K28" s="58" t="e">
        <f>#REF!</f>
        <v>#REF!</v>
      </c>
      <c r="L28" s="57" t="e">
        <f>#REF!</f>
        <v>#REF!</v>
      </c>
      <c r="M28" s="57" t="e">
        <f>#REF!</f>
        <v>#REF!</v>
      </c>
      <c r="N28" s="57" t="e">
        <f>#REF!</f>
        <v>#REF!</v>
      </c>
      <c r="O28" s="57" t="e">
        <f>#REF!</f>
        <v>#REF!</v>
      </c>
      <c r="P28" s="57">
        <f>'2.4.1.5.-7.'!P54</f>
        <v>1.7422720542668912</v>
      </c>
      <c r="Q28" s="57">
        <f>'2.4.1.5.-7.'!Q54</f>
        <v>2.7179719422707933</v>
      </c>
      <c r="R28" s="57">
        <f>'2.4.1.5.-7.'!R54</f>
        <v>5.0653075085369039</v>
      </c>
      <c r="S28" s="57">
        <f>'2.4.1.5.-7.'!S54</f>
        <v>6.7020945420822642</v>
      </c>
      <c r="T28" s="57">
        <f>'2.4.1.5.-7.'!T54</f>
        <v>7.0662044612957544</v>
      </c>
      <c r="U28" s="57">
        <f>'2.4.1.5.-7.'!U54</f>
        <v>7.2035648256658931</v>
      </c>
    </row>
    <row r="29" spans="1:21" customFormat="1" ht="14">
      <c r="A29" s="103"/>
      <c r="B29" s="104" t="s">
        <v>9</v>
      </c>
      <c r="C29" s="161"/>
      <c r="D29" s="82"/>
      <c r="E29" s="83"/>
      <c r="F29" s="83"/>
      <c r="G29" s="83"/>
      <c r="H29" s="82"/>
      <c r="I29" s="82"/>
      <c r="J29" s="83"/>
      <c r="K29" s="84"/>
      <c r="L29" s="83"/>
      <c r="M29" s="83"/>
      <c r="N29" s="83"/>
      <c r="O29" s="83"/>
      <c r="P29" s="83"/>
      <c r="Q29" s="83"/>
      <c r="R29" s="83"/>
      <c r="S29" s="83"/>
      <c r="T29" s="83"/>
      <c r="U29" s="83"/>
    </row>
    <row r="30" spans="1:21" customFormat="1" ht="14" hidden="1">
      <c r="A30" s="47"/>
      <c r="B30" s="41" t="s">
        <v>62</v>
      </c>
      <c r="C30" s="157" t="s">
        <v>63</v>
      </c>
      <c r="D30" s="100" t="e">
        <f>#REF!</f>
        <v>#REF!</v>
      </c>
      <c r="E30" s="98" t="e">
        <f>#REF!</f>
        <v>#REF!</v>
      </c>
      <c r="F30" s="98" t="e">
        <f>#REF!</f>
        <v>#REF!</v>
      </c>
      <c r="G30" s="98" t="e">
        <f>#REF!</f>
        <v>#REF!</v>
      </c>
      <c r="H30" s="100" t="e">
        <f>#REF!</f>
        <v>#REF!</v>
      </c>
      <c r="I30" s="100" t="e">
        <f>#REF!</f>
        <v>#REF!</v>
      </c>
      <c r="J30" s="98" t="e">
        <f>#REF!</f>
        <v>#REF!</v>
      </c>
      <c r="K30" s="89" t="e">
        <f>#REF!</f>
        <v>#REF!</v>
      </c>
      <c r="L30" s="98" t="e">
        <f>#REF!</f>
        <v>#REF!</v>
      </c>
      <c r="M30" s="98" t="e">
        <f>#REF!</f>
        <v>#REF!</v>
      </c>
      <c r="N30" s="98" t="e">
        <f>#REF!</f>
        <v>#REF!</v>
      </c>
      <c r="O30" s="98" t="e">
        <f>#REF!</f>
        <v>#REF!</v>
      </c>
      <c r="P30" s="98" t="e">
        <f>#REF!</f>
        <v>#REF!</v>
      </c>
      <c r="Q30" s="98" t="e">
        <f>#REF!</f>
        <v>#REF!</v>
      </c>
      <c r="R30" s="98" t="e">
        <f>#REF!</f>
        <v>#REF!</v>
      </c>
      <c r="S30" s="98"/>
      <c r="T30" s="98"/>
      <c r="U30" s="98"/>
    </row>
    <row r="31" spans="1:21" customFormat="1" ht="14" hidden="1">
      <c r="A31" s="48"/>
      <c r="B31" s="44" t="s">
        <v>64</v>
      </c>
      <c r="C31" s="158" t="s">
        <v>65</v>
      </c>
      <c r="D31" s="79" t="e">
        <f>#REF!</f>
        <v>#REF!</v>
      </c>
      <c r="E31" s="80" t="e">
        <f>#REF!</f>
        <v>#REF!</v>
      </c>
      <c r="F31" s="80" t="e">
        <f>#REF!</f>
        <v>#REF!</v>
      </c>
      <c r="G31" s="80" t="e">
        <f>#REF!</f>
        <v>#REF!</v>
      </c>
      <c r="H31" s="79" t="e">
        <f>#REF!</f>
        <v>#REF!</v>
      </c>
      <c r="I31" s="79" t="e">
        <f>#REF!</f>
        <v>#REF!</v>
      </c>
      <c r="J31" s="80" t="e">
        <f>#REF!</f>
        <v>#REF!</v>
      </c>
      <c r="K31" s="81" t="e">
        <f>#REF!</f>
        <v>#REF!</v>
      </c>
      <c r="L31" s="80" t="e">
        <f>#REF!</f>
        <v>#REF!</v>
      </c>
      <c r="M31" s="80" t="e">
        <f>#REF!</f>
        <v>#REF!</v>
      </c>
      <c r="N31" s="80" t="e">
        <f>#REF!</f>
        <v>#REF!</v>
      </c>
      <c r="O31" s="80" t="e">
        <f>#REF!</f>
        <v>#REF!</v>
      </c>
      <c r="P31" s="42"/>
      <c r="Q31" s="42"/>
      <c r="R31" s="42"/>
      <c r="S31" s="42"/>
      <c r="T31" s="42"/>
      <c r="U31" s="42"/>
    </row>
    <row r="32" spans="1:21" customFormat="1">
      <c r="A32" s="23"/>
      <c r="B32" s="4"/>
      <c r="C32" s="162"/>
      <c r="D32" s="5"/>
      <c r="E32" s="5"/>
      <c r="F32" s="5"/>
      <c r="G32" s="5"/>
      <c r="H32" s="59"/>
      <c r="I32" s="59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customFormat="1">
      <c r="A33" s="23"/>
      <c r="B33" s="4"/>
      <c r="C33" s="162"/>
      <c r="D33" s="5"/>
      <c r="E33" s="5"/>
      <c r="F33" s="5"/>
      <c r="G33" s="5"/>
      <c r="H33" s="59"/>
      <c r="I33" s="59"/>
      <c r="J33" s="5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customFormat="1">
      <c r="A34" s="23"/>
      <c r="B34" s="4"/>
      <c r="C34" s="162"/>
      <c r="D34" s="5"/>
      <c r="E34" s="5"/>
      <c r="F34" s="5"/>
      <c r="G34" s="5"/>
      <c r="H34" s="59"/>
      <c r="I34" s="59"/>
      <c r="J34" s="5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customFormat="1">
      <c r="A35" s="23"/>
      <c r="B35" s="4"/>
      <c r="C35" s="162"/>
      <c r="D35" s="5"/>
      <c r="E35" s="5"/>
      <c r="F35" s="5"/>
      <c r="G35" s="5"/>
      <c r="H35" s="59"/>
      <c r="I35" s="59"/>
      <c r="J35" s="5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customFormat="1">
      <c r="A36" s="23"/>
      <c r="B36" s="4"/>
      <c r="C36" s="162"/>
      <c r="D36" s="5"/>
      <c r="E36" s="5"/>
      <c r="F36" s="5"/>
      <c r="G36" s="5"/>
      <c r="H36" s="59"/>
      <c r="I36" s="59"/>
      <c r="J36" s="5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customFormat="1">
      <c r="A37" s="23"/>
      <c r="B37" s="4"/>
      <c r="C37" s="162"/>
      <c r="D37" s="5"/>
      <c r="E37" s="5"/>
      <c r="F37" s="5"/>
      <c r="G37" s="5"/>
      <c r="H37" s="59"/>
      <c r="I37" s="59"/>
      <c r="J37" s="5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customFormat="1">
      <c r="A38" s="23"/>
      <c r="B38" s="4"/>
      <c r="C38" s="162"/>
      <c r="D38" s="5"/>
      <c r="E38" s="5"/>
      <c r="F38" s="5"/>
      <c r="G38" s="5"/>
      <c r="H38" s="59"/>
      <c r="I38" s="59"/>
      <c r="J38" s="5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customFormat="1">
      <c r="A39" s="23"/>
      <c r="B39" s="4"/>
      <c r="C39" s="162"/>
      <c r="D39" s="5"/>
      <c r="E39" s="5"/>
      <c r="F39" s="5"/>
      <c r="G39" s="5"/>
      <c r="H39" s="59"/>
      <c r="I39" s="59"/>
      <c r="J39" s="5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customFormat="1">
      <c r="A40" s="23"/>
      <c r="B40" s="4"/>
      <c r="C40" s="162"/>
      <c r="D40" s="5"/>
      <c r="E40" s="5"/>
      <c r="F40" s="5"/>
      <c r="G40" s="5"/>
      <c r="H40" s="59"/>
      <c r="I40" s="59"/>
      <c r="J40" s="5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customFormat="1">
      <c r="A41" s="23"/>
      <c r="B41" s="4"/>
      <c r="C41" s="162"/>
      <c r="D41" s="5"/>
      <c r="E41" s="5"/>
      <c r="F41" s="5"/>
      <c r="G41" s="5"/>
      <c r="H41" s="59"/>
      <c r="I41" s="59"/>
      <c r="J41" s="5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customFormat="1">
      <c r="A42" s="23"/>
      <c r="B42" s="4"/>
      <c r="C42" s="162"/>
      <c r="D42" s="5"/>
      <c r="E42" s="5"/>
      <c r="F42" s="5"/>
      <c r="G42" s="5"/>
      <c r="H42" s="59"/>
      <c r="I42" s="59"/>
      <c r="J42" s="5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customFormat="1">
      <c r="A43" s="23"/>
      <c r="B43" s="4"/>
      <c r="C43" s="162"/>
      <c r="D43" s="5"/>
      <c r="E43" s="5"/>
      <c r="F43" s="5"/>
      <c r="G43" s="5"/>
      <c r="H43" s="59"/>
      <c r="I43" s="59"/>
      <c r="J43" s="5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customFormat="1">
      <c r="A44" s="23"/>
      <c r="B44" s="4"/>
      <c r="C44" s="162"/>
      <c r="D44" s="5"/>
      <c r="E44" s="5"/>
      <c r="F44" s="5"/>
      <c r="G44" s="5"/>
      <c r="H44" s="59"/>
      <c r="I44" s="59"/>
      <c r="J44" s="5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customFormat="1">
      <c r="A45" s="23"/>
      <c r="B45" s="4"/>
      <c r="C45" s="162"/>
      <c r="D45" s="5"/>
      <c r="E45" s="5"/>
      <c r="F45" s="5"/>
      <c r="G45" s="5"/>
      <c r="H45" s="59"/>
      <c r="I45" s="59"/>
      <c r="J45" s="5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customFormat="1">
      <c r="A46" s="23"/>
      <c r="B46" s="4"/>
      <c r="C46" s="162"/>
      <c r="D46" s="5"/>
      <c r="E46" s="5"/>
      <c r="F46" s="5"/>
      <c r="G46" s="5"/>
      <c r="H46" s="59"/>
      <c r="I46" s="59"/>
      <c r="J46" s="5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customFormat="1">
      <c r="A47" s="23"/>
      <c r="B47" s="4"/>
      <c r="C47" s="162"/>
      <c r="D47" s="5"/>
      <c r="E47" s="5"/>
      <c r="F47" s="5"/>
      <c r="G47" s="5"/>
      <c r="H47" s="59"/>
      <c r="I47" s="59"/>
      <c r="J47" s="5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customFormat="1">
      <c r="A48" s="23"/>
      <c r="B48" s="4"/>
      <c r="C48" s="162"/>
      <c r="D48" s="5"/>
      <c r="E48" s="5"/>
      <c r="F48" s="5"/>
      <c r="G48" s="5"/>
      <c r="H48" s="59"/>
      <c r="I48" s="59"/>
      <c r="J48" s="5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customFormat="1">
      <c r="A49" s="23"/>
      <c r="B49" s="4"/>
      <c r="C49" s="162"/>
      <c r="D49" s="5"/>
      <c r="E49" s="5"/>
      <c r="F49" s="5"/>
      <c r="G49" s="5"/>
      <c r="H49" s="59"/>
      <c r="I49" s="59"/>
      <c r="J49" s="5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customFormat="1">
      <c r="A50" s="23"/>
      <c r="B50" s="4"/>
      <c r="C50" s="162"/>
      <c r="D50" s="5"/>
      <c r="E50" s="5"/>
      <c r="F50" s="5"/>
      <c r="G50" s="5"/>
      <c r="H50" s="59"/>
      <c r="I50" s="59"/>
      <c r="J50" s="5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customFormat="1">
      <c r="A51" s="23"/>
      <c r="B51" s="4"/>
      <c r="C51" s="162"/>
      <c r="D51" s="5"/>
      <c r="E51" s="5"/>
      <c r="F51" s="5"/>
      <c r="G51" s="5"/>
      <c r="H51" s="59"/>
      <c r="I51" s="59"/>
      <c r="J51" s="5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customFormat="1">
      <c r="A52" s="23"/>
      <c r="B52" s="4"/>
      <c r="C52" s="162"/>
      <c r="D52" s="5"/>
      <c r="E52" s="5"/>
      <c r="F52" s="5"/>
      <c r="G52" s="5"/>
      <c r="H52" s="59"/>
      <c r="I52" s="59"/>
      <c r="J52" s="5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customFormat="1">
      <c r="A53" s="23"/>
      <c r="B53" s="4"/>
      <c r="C53" s="162"/>
      <c r="D53" s="5"/>
      <c r="E53" s="5"/>
      <c r="F53" s="5"/>
      <c r="G53" s="5"/>
      <c r="H53" s="59"/>
      <c r="I53" s="59"/>
      <c r="J53" s="5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customFormat="1">
      <c r="A54" s="23"/>
      <c r="B54" s="4"/>
      <c r="C54" s="162"/>
      <c r="D54" s="5"/>
      <c r="E54" s="5"/>
      <c r="F54" s="5"/>
      <c r="G54" s="5"/>
      <c r="H54" s="59"/>
      <c r="I54" s="59"/>
      <c r="J54" s="5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customFormat="1">
      <c r="A55" s="23"/>
      <c r="B55" s="4"/>
      <c r="C55" s="162"/>
      <c r="D55" s="5"/>
      <c r="E55" s="5"/>
      <c r="F55" s="5"/>
      <c r="G55" s="5"/>
      <c r="H55" s="59"/>
      <c r="I55" s="59"/>
      <c r="J55" s="5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customFormat="1">
      <c r="A56" s="23"/>
      <c r="B56" s="4"/>
      <c r="C56" s="162"/>
      <c r="D56" s="5"/>
      <c r="E56" s="5"/>
      <c r="F56" s="5"/>
      <c r="G56" s="5"/>
      <c r="H56" s="59"/>
      <c r="I56" s="59"/>
      <c r="J56" s="5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customFormat="1">
      <c r="A57" s="23"/>
      <c r="B57" s="4"/>
      <c r="C57" s="162"/>
      <c r="D57" s="5"/>
      <c r="E57" s="5"/>
      <c r="F57" s="5"/>
      <c r="G57" s="5"/>
      <c r="H57" s="59"/>
      <c r="I57" s="59"/>
      <c r="J57" s="5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customFormat="1">
      <c r="A58" s="23"/>
      <c r="B58" s="4"/>
      <c r="C58" s="162"/>
      <c r="D58" s="5"/>
      <c r="E58" s="5"/>
      <c r="F58" s="5"/>
      <c r="G58" s="5"/>
      <c r="H58" s="59"/>
      <c r="I58" s="59"/>
      <c r="J58" s="5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</row>
  </sheetData>
  <mergeCells count="7">
    <mergeCell ref="P2:T2"/>
    <mergeCell ref="A1:T1"/>
    <mergeCell ref="A15:K15"/>
    <mergeCell ref="A2:A3"/>
    <mergeCell ref="B2:B3"/>
    <mergeCell ref="C2:C3"/>
    <mergeCell ref="D2:K2"/>
  </mergeCells>
  <pageMargins left="0.54" right="7.8740157480315001E-2" top="0.39370078740157499" bottom="0.59055118110236204" header="0.31496062992126" footer="0.31496062992126"/>
  <pageSetup paperSize="9" orientation="portrait" useFirstPageNumber="1" horizontalDpi="1200" verticalDpi="1200" r:id="rId1"/>
  <headerFooter>
    <oddFooter>&amp;L &amp;Csəh.&amp;P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2">
    <pageSetUpPr fitToPage="1"/>
  </sheetPr>
  <dimension ref="A1:U290"/>
  <sheetViews>
    <sheetView view="pageBreakPreview" zoomScaleSheetLayoutView="100" workbookViewId="0">
      <pane xSplit="3" ySplit="3" topLeftCell="P251" activePane="bottomRight" state="frozenSplit"/>
      <selection activeCell="W14" sqref="W14"/>
      <selection pane="topRight" activeCell="W14" sqref="W14"/>
      <selection pane="bottomLeft" activeCell="W14" sqref="W14"/>
      <selection pane="bottomRight" activeCell="P3" sqref="P1:P1048576"/>
    </sheetView>
  </sheetViews>
  <sheetFormatPr baseColWidth="10" defaultColWidth="9.1640625" defaultRowHeight="13" outlineLevelCol="1"/>
  <cols>
    <col min="1" max="1" width="5.1640625" style="23" customWidth="1"/>
    <col min="2" max="2" width="26.5" style="4" customWidth="1"/>
    <col min="3" max="3" width="10.33203125" style="162" customWidth="1"/>
    <col min="4" max="6" width="7.83203125" style="5" hidden="1" customWidth="1" outlineLevel="1"/>
    <col min="7" max="7" width="7.83203125" style="5" hidden="1" customWidth="1" collapsed="1"/>
    <col min="8" max="8" width="7.83203125" style="59" hidden="1" customWidth="1"/>
    <col min="9" max="9" width="9.5" style="59" hidden="1" customWidth="1"/>
    <col min="10" max="10" width="9.5" style="5" hidden="1" customWidth="1"/>
    <col min="11" max="11" width="10.83203125" style="6" hidden="1" customWidth="1"/>
    <col min="12" max="16" width="10.83203125" style="5" hidden="1" customWidth="1"/>
    <col min="17" max="20" width="10.83203125" style="5" customWidth="1"/>
    <col min="21" max="21" width="10.83203125" style="5" hidden="1" customWidth="1"/>
    <col min="22" max="16384" width="9.1640625" style="5"/>
  </cols>
  <sheetData>
    <row r="1" spans="1:21" customFormat="1" ht="27" customHeight="1">
      <c r="A1" s="242" t="s">
        <v>383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34"/>
    </row>
    <row r="2" spans="1:21" customFormat="1">
      <c r="A2" s="253" t="s">
        <v>0</v>
      </c>
      <c r="B2" s="240" t="s">
        <v>1</v>
      </c>
      <c r="C2" s="248" t="s">
        <v>2</v>
      </c>
      <c r="D2" s="250" t="s">
        <v>13</v>
      </c>
      <c r="E2" s="251"/>
      <c r="F2" s="251"/>
      <c r="G2" s="251"/>
      <c r="H2" s="251"/>
      <c r="I2" s="251"/>
      <c r="J2" s="251"/>
      <c r="K2" s="252"/>
      <c r="L2" s="235"/>
      <c r="M2" s="236"/>
      <c r="N2" s="236"/>
      <c r="O2" s="236"/>
      <c r="P2" s="239" t="s">
        <v>3</v>
      </c>
      <c r="Q2" s="240"/>
      <c r="R2" s="240"/>
      <c r="S2" s="240"/>
      <c r="T2" s="241"/>
      <c r="U2" s="238"/>
    </row>
    <row r="3" spans="1:21" customFormat="1">
      <c r="A3" s="254"/>
      <c r="B3" s="255"/>
      <c r="C3" s="249"/>
      <c r="D3" s="105">
        <f t="shared" ref="D3:K3" si="0">E3-1</f>
        <v>2013</v>
      </c>
      <c r="E3" s="106">
        <f t="shared" si="0"/>
        <v>2014</v>
      </c>
      <c r="F3" s="106">
        <f t="shared" si="0"/>
        <v>2015</v>
      </c>
      <c r="G3" s="106">
        <f t="shared" si="0"/>
        <v>2016</v>
      </c>
      <c r="H3" s="105">
        <f t="shared" si="0"/>
        <v>2017</v>
      </c>
      <c r="I3" s="105">
        <f t="shared" si="0"/>
        <v>2018</v>
      </c>
      <c r="J3" s="106">
        <f t="shared" si="0"/>
        <v>2019</v>
      </c>
      <c r="K3" s="208">
        <f t="shared" si="0"/>
        <v>2020</v>
      </c>
      <c r="L3" s="106">
        <f>M3-1</f>
        <v>2021</v>
      </c>
      <c r="M3" s="106">
        <v>2022</v>
      </c>
      <c r="N3" s="106">
        <v>2023</v>
      </c>
      <c r="O3" s="106">
        <v>2024</v>
      </c>
      <c r="P3" s="220">
        <v>2025</v>
      </c>
      <c r="Q3" s="221">
        <v>2026</v>
      </c>
      <c r="R3" s="221">
        <v>2027</v>
      </c>
      <c r="S3" s="221">
        <v>2028</v>
      </c>
      <c r="T3" s="218">
        <v>2029</v>
      </c>
      <c r="U3" s="218">
        <v>2030</v>
      </c>
    </row>
    <row r="4" spans="1:21" customFormat="1" ht="28">
      <c r="A4" s="122" t="s">
        <v>24</v>
      </c>
      <c r="B4" s="108" t="s">
        <v>66</v>
      </c>
      <c r="C4" s="152"/>
      <c r="D4" s="120"/>
      <c r="E4" s="123"/>
      <c r="F4" s="123"/>
      <c r="G4" s="123"/>
      <c r="H4" s="120"/>
      <c r="I4" s="120"/>
      <c r="J4" s="123"/>
      <c r="K4" s="124"/>
      <c r="L4" s="123"/>
      <c r="M4" s="123"/>
      <c r="N4" s="123"/>
      <c r="O4" s="123"/>
      <c r="P4" s="120"/>
      <c r="Q4" s="123"/>
      <c r="R4" s="123"/>
      <c r="S4" s="123"/>
      <c r="T4" s="124"/>
      <c r="U4" s="124"/>
    </row>
    <row r="5" spans="1:21" customFormat="1" ht="14">
      <c r="A5" s="66" t="s">
        <v>67</v>
      </c>
      <c r="B5" s="4" t="s">
        <v>68</v>
      </c>
      <c r="C5" s="153" t="s">
        <v>12</v>
      </c>
      <c r="D5" s="59">
        <v>5836.7</v>
      </c>
      <c r="E5" s="5">
        <v>5814.8</v>
      </c>
      <c r="F5" s="5">
        <v>6196.5</v>
      </c>
      <c r="G5" s="5">
        <v>6222.4</v>
      </c>
      <c r="H5" s="59">
        <v>7260.5</v>
      </c>
      <c r="I5" s="59">
        <f>'[1]ÜDM sahələr üzrə'!AC260</f>
        <v>7693.4</v>
      </c>
      <c r="J5" s="5">
        <f>'[1]ÜDM sahələr üzrə'!AD260</f>
        <v>8608.7999999999993</v>
      </c>
      <c r="K5" s="6">
        <f>'[1]ÜDM sahələr üzrə'!AE260</f>
        <v>9057.2000000000007</v>
      </c>
      <c r="L5" s="5">
        <f>'[1]ÜDM sahələr üzrə'!AF260</f>
        <v>9991.1</v>
      </c>
      <c r="M5" s="5">
        <f>'[1]ÜDM sahələr üzrə'!AG260</f>
        <v>11916.9</v>
      </c>
      <c r="N5" s="5">
        <f>'[1]ÜDM sahələr üzrə'!AH260</f>
        <v>13228.5</v>
      </c>
      <c r="O5" s="5">
        <f>'[1]ÜDM sahələr üzrə'!AI260</f>
        <v>13949.2</v>
      </c>
      <c r="P5" s="59">
        <f>'[1]ÜDM sahələr üzrə'!AJ260</f>
        <v>14692.735839328259</v>
      </c>
      <c r="Q5" s="5">
        <f>'[1]ÜDM sahələr üzrə'!AK260</f>
        <v>15170.039864999486</v>
      </c>
      <c r="R5" s="5">
        <f>'[1]ÜDM sahələr üzrə'!AL260</f>
        <v>15830.816289680641</v>
      </c>
      <c r="S5" s="5">
        <f>'[1]ÜDM sahələr üzrə'!AM260</f>
        <v>16563.516107856613</v>
      </c>
      <c r="T5" s="6">
        <f>'[1]ÜDM sahələr üzrə'!AN260</f>
        <v>17366.507335750175</v>
      </c>
      <c r="U5" s="6">
        <f>'[1]ÜDM sahələr üzrə'!AO260</f>
        <v>17857.0379599552</v>
      </c>
    </row>
    <row r="6" spans="1:21" customFormat="1" ht="14">
      <c r="A6" s="66" t="s">
        <v>69</v>
      </c>
      <c r="B6" s="4" t="s">
        <v>70</v>
      </c>
      <c r="C6" s="153" t="s">
        <v>12</v>
      </c>
      <c r="D6" s="59">
        <v>2714.5</v>
      </c>
      <c r="E6" s="5">
        <v>2675.7</v>
      </c>
      <c r="F6" s="5">
        <v>2837.2</v>
      </c>
      <c r="G6" s="5">
        <v>2835.6</v>
      </c>
      <c r="H6" s="59">
        <v>3316.4</v>
      </c>
      <c r="I6" s="59">
        <f>'[1]ÜDM sahələr üzrə'!AC261</f>
        <v>3522.9</v>
      </c>
      <c r="J6" s="5">
        <f>'[1]ÜDM sahələr üzrə'!AD261</f>
        <v>3944.5999999999995</v>
      </c>
      <c r="K6" s="6">
        <f>'[1]ÜDM sahələr üzrə'!AE261</f>
        <v>4166.2000000000007</v>
      </c>
      <c r="L6" s="5">
        <f>'[1]ÜDM sahələr üzrə'!AF261</f>
        <v>4654.34</v>
      </c>
      <c r="M6" s="5">
        <f>'[1]ÜDM sahələr üzrə'!AG261</f>
        <v>5737.7999999999993</v>
      </c>
      <c r="N6" s="5">
        <f>'[1]ÜDM sahələr üzrə'!AH261</f>
        <v>6443.4</v>
      </c>
      <c r="O6" s="5">
        <f>'[1]ÜDM sahələr üzrə'!AI261</f>
        <v>6802.1</v>
      </c>
      <c r="P6" s="59">
        <f>'[1]ÜDM sahələr üzrə'!AJ261</f>
        <v>7164.6731319856881</v>
      </c>
      <c r="Q6" s="5">
        <f>'[1]ÜDM sahələr üzrə'!AK261</f>
        <v>7397.4226597735351</v>
      </c>
      <c r="R6" s="5">
        <f>'[1]ÜDM sahələr üzrə'!AL261</f>
        <v>7719.6395122327231</v>
      </c>
      <c r="S6" s="5">
        <f>'[1]ÜDM sahələr üzrə'!AM261</f>
        <v>8076.9286351368883</v>
      </c>
      <c r="T6" s="6">
        <f>'[1]ÜDM sahələr üzrə'!AN261</f>
        <v>8468.4942181993429</v>
      </c>
      <c r="U6" s="6">
        <f>'[1]ÜDM sahələr üzrə'!AO261</f>
        <v>8707.6934811610172</v>
      </c>
    </row>
    <row r="7" spans="1:21" customFormat="1" ht="14">
      <c r="A7" s="66" t="s">
        <v>71</v>
      </c>
      <c r="B7" s="4" t="s">
        <v>72</v>
      </c>
      <c r="C7" s="153" t="s">
        <v>12</v>
      </c>
      <c r="D7" s="59">
        <v>3122.2</v>
      </c>
      <c r="E7" s="5">
        <v>3139.2</v>
      </c>
      <c r="F7" s="5">
        <v>3359.3</v>
      </c>
      <c r="G7" s="5">
        <v>3386.8</v>
      </c>
      <c r="H7" s="59">
        <v>3944.12</v>
      </c>
      <c r="I7" s="59">
        <f>'[1]ÜDM sahələr üzrə'!AC262</f>
        <v>4174.8</v>
      </c>
      <c r="J7" s="5">
        <f>'[1]ÜDM sahələr üzrə'!AD262</f>
        <v>4664.2</v>
      </c>
      <c r="K7" s="6">
        <f>'[1]ÜDM sahələr üzrə'!AE262</f>
        <v>4891</v>
      </c>
      <c r="L7" s="5">
        <f>'[1]ÜDM sahələr üzrə'!AF262</f>
        <v>5336.76</v>
      </c>
      <c r="M7" s="5">
        <f>'[1]ÜDM sahələr üzrə'!AG262</f>
        <v>6179.1</v>
      </c>
      <c r="N7" s="5">
        <f>'[1]ÜDM sahələr üzrə'!AH262</f>
        <v>6785.1</v>
      </c>
      <c r="O7" s="5">
        <f>'[1]ÜDM sahələr üzrə'!AI262</f>
        <v>7147.1</v>
      </c>
      <c r="P7" s="59">
        <f>'[1]ÜDM sahələr üzrə'!AJ262</f>
        <v>7528.0627073425712</v>
      </c>
      <c r="Q7" s="5">
        <f>'[1]ÜDM sahələr üzrə'!AK262</f>
        <v>7772.6172052259508</v>
      </c>
      <c r="R7" s="5">
        <f>'[1]ÜDM sahələr üzrə'!AL262</f>
        <v>8111.1767774479176</v>
      </c>
      <c r="S7" s="5">
        <f>'[1]ÜDM sahələr üzrə'!AM262</f>
        <v>8486.5874727197242</v>
      </c>
      <c r="T7" s="6">
        <f>'[1]ÜDM sahələr üzrə'!AN262</f>
        <v>8898.0131175508322</v>
      </c>
      <c r="U7" s="6">
        <f>'[1]ÜDM sahələr üzrə'!AO262</f>
        <v>9149.3444787941826</v>
      </c>
    </row>
    <row r="8" spans="1:21" customFormat="1" ht="14">
      <c r="A8" s="66"/>
      <c r="B8" s="4" t="s">
        <v>73</v>
      </c>
      <c r="C8" s="153" t="s">
        <v>6</v>
      </c>
      <c r="D8" s="59">
        <v>53.492555724981585</v>
      </c>
      <c r="E8" s="5">
        <v>53.986379583132695</v>
      </c>
      <c r="F8" s="5">
        <v>54.212862099572348</v>
      </c>
      <c r="G8" s="5">
        <v>54.42915916688095</v>
      </c>
      <c r="H8" s="59">
        <v>54.322980510984088</v>
      </c>
      <c r="I8" s="59">
        <f>'[1]ÜDM sahələr üzrə'!AC263</f>
        <v>54.2646944133933</v>
      </c>
      <c r="J8" s="5">
        <f>'[1]ÜDM sahələr üzrə'!AD263</f>
        <v>54.179444289564174</v>
      </c>
      <c r="K8" s="6">
        <f>'[1]ÜDM sahələr üzrə'!AE263</f>
        <v>54.001236585258127</v>
      </c>
      <c r="L8" s="5">
        <f>'[1]ÜDM sahələr üzrə'!AF263</f>
        <v>53.415139474131976</v>
      </c>
      <c r="M8" s="5">
        <f>'[1]ÜDM sahələr üzrə'!AG263</f>
        <v>51.851572137049075</v>
      </c>
      <c r="N8" s="5">
        <f>'[1]ÜDM sahələr üzrə'!AH263</f>
        <v>51.29152965188797</v>
      </c>
      <c r="O8" s="5">
        <f>'[1]ÜDM sahələr üzrə'!AI263</f>
        <v>51.236630057637711</v>
      </c>
      <c r="P8" s="59">
        <f>'[1]ÜDM sahələr üzrə'!AJ263</f>
        <v>51.236630057637711</v>
      </c>
      <c r="Q8" s="5">
        <f>'[1]ÜDM sahələr üzrə'!AK263</f>
        <v>51.236630057637711</v>
      </c>
      <c r="R8" s="5">
        <f>'[1]ÜDM sahələr üzrə'!AL263</f>
        <v>51.236630057637711</v>
      </c>
      <c r="S8" s="5">
        <f>'[1]ÜDM sahələr üzrə'!AM263</f>
        <v>51.236630057637711</v>
      </c>
      <c r="T8" s="6">
        <f>'[1]ÜDM sahələr üzrə'!AN263</f>
        <v>51.236630057637711</v>
      </c>
      <c r="U8" s="6">
        <f>'[1]ÜDM sahələr üzrə'!AO263</f>
        <v>51.236630057637711</v>
      </c>
    </row>
    <row r="9" spans="1:21" customFormat="1" ht="14">
      <c r="A9" s="66"/>
      <c r="B9" s="3" t="s">
        <v>16</v>
      </c>
      <c r="C9" s="153" t="s">
        <v>6</v>
      </c>
      <c r="D9" s="59">
        <v>4.8499999999999996</v>
      </c>
      <c r="E9" s="5">
        <v>-2.5999999999999943</v>
      </c>
      <c r="F9" s="5">
        <v>6.6</v>
      </c>
      <c r="G9" s="5">
        <v>2.6</v>
      </c>
      <c r="H9" s="59">
        <v>4.2</v>
      </c>
      <c r="I9" s="59">
        <f>'[1]ÜDM sahələr üzrə'!AC264</f>
        <v>4.5999999999999996</v>
      </c>
      <c r="J9" s="5">
        <f>'[1]ÜDM sahələr üzrə'!AD264</f>
        <v>7.25</v>
      </c>
      <c r="K9" s="6">
        <f>'[1]ÜDM sahələr üzrə'!AE264</f>
        <v>1.9490000000000001</v>
      </c>
      <c r="L9" s="5">
        <f>'[1]ÜDM sahələr üzrə'!AF264</f>
        <v>3.3</v>
      </c>
      <c r="M9" s="5">
        <f>'[1]ÜDM sahələr üzrə'!AG264</f>
        <v>3.4</v>
      </c>
      <c r="N9" s="5">
        <f>'[1]ÜDM sahələr üzrə'!AH264</f>
        <v>2.96</v>
      </c>
      <c r="O9" s="5">
        <f>'[1]ÜDM sahələr üzrə'!AI264</f>
        <v>1.4</v>
      </c>
      <c r="P9" s="59">
        <f>'[1]ÜDM sahələr üzrə'!AJ264</f>
        <v>2.3377664791054191</v>
      </c>
      <c r="Q9" s="5">
        <f>'[1]ÜDM sahələr üzrə'!AK264</f>
        <v>3.1433240102374498</v>
      </c>
      <c r="R9" s="5">
        <f>'[1]ÜDM sahələr üzrə'!AL264</f>
        <v>2.8338064033419652</v>
      </c>
      <c r="S9" s="5">
        <f>'[1]ÜDM sahələr üzrə'!AM264</f>
        <v>2.9290520926088845</v>
      </c>
      <c r="T9" s="6">
        <f>'[1]ÜDM sahələr üzrə'!AN264</f>
        <v>3.0185256417065567</v>
      </c>
      <c r="U9" s="6">
        <f>'[1]ÜDM sahələr üzrə'!AO264</f>
        <v>1.0872394224465143</v>
      </c>
    </row>
    <row r="10" spans="1:21" customFormat="1" ht="14">
      <c r="A10" s="67"/>
      <c r="B10" s="8" t="s">
        <v>56</v>
      </c>
      <c r="C10" s="154" t="s">
        <v>6</v>
      </c>
      <c r="D10" s="60">
        <v>5.8313884841233232</v>
      </c>
      <c r="E10" s="10">
        <v>3.2284269621391815</v>
      </c>
      <c r="F10" s="10">
        <v>0.38587286014002586</v>
      </c>
      <c r="G10" s="10">
        <v>-1.7362349635520644</v>
      </c>
      <c r="H10" s="60">
        <v>11.761661566515301</v>
      </c>
      <c r="I10" s="60">
        <f>'[1]ÜDM sahələr üzrə'!AC265</f>
        <v>1.1943051370435285</v>
      </c>
      <c r="J10" s="10">
        <f>'[1]ÜDM sahələr üzrə'!AD265</f>
        <v>4.1703657397822411</v>
      </c>
      <c r="K10" s="11">
        <f>'[1]ÜDM sahələr üzrə'!AE265</f>
        <v>2.8578703230884344</v>
      </c>
      <c r="L10" s="10">
        <f>'[1]ÜDM sahələr üzrə'!AF265</f>
        <v>5.6281535736559647</v>
      </c>
      <c r="M10" s="10">
        <f>'[1]ÜDM sahələr üzrə'!AG265</f>
        <v>11.976531867443455</v>
      </c>
      <c r="N10" s="10">
        <f>'[1]ÜDM sahələr üzrə'!AH265</f>
        <v>6.6504015962674856</v>
      </c>
      <c r="O10" s="10">
        <f>'[1]ÜDM sahələr üzrə'!AI265</f>
        <v>3.8808873963505732</v>
      </c>
      <c r="P10" s="60">
        <f>'[1]ÜDM sahələr üzrə'!AJ265</f>
        <v>2.9241846109209035</v>
      </c>
      <c r="Q10" s="10">
        <f>'[1]ÜDM sahələr üzrə'!AK265</f>
        <v>0.10204001839066734</v>
      </c>
      <c r="R10" s="10">
        <f>'[1]ÜDM sahələr üzrə'!AL265</f>
        <v>1.4800506931218536</v>
      </c>
      <c r="S10" s="10">
        <f>'[1]ÜDM sahələr üzrə'!AM265</f>
        <v>1.650905590123017</v>
      </c>
      <c r="T10" s="11">
        <f>'[1]ÜDM sahələr üzrə'!AN265</f>
        <v>1.77582221124662</v>
      </c>
      <c r="U10" s="11">
        <f>'[1]ÜDM sahələr üzrə'!AO265</f>
        <v>1.7186531556838247</v>
      </c>
    </row>
    <row r="11" spans="1:21" customFormat="1" ht="14">
      <c r="A11" s="117" t="s">
        <v>25</v>
      </c>
      <c r="B11" s="125" t="s">
        <v>74</v>
      </c>
      <c r="C11" s="152"/>
      <c r="D11" s="120"/>
      <c r="E11" s="123"/>
      <c r="F11" s="123"/>
      <c r="G11" s="123"/>
      <c r="H11" s="120"/>
      <c r="I11" s="120"/>
      <c r="J11" s="123"/>
      <c r="K11" s="124"/>
      <c r="L11" s="123"/>
      <c r="M11" s="123"/>
      <c r="N11" s="123"/>
      <c r="O11" s="123"/>
      <c r="P11" s="120"/>
      <c r="Q11" s="123"/>
      <c r="R11" s="123"/>
      <c r="S11" s="123"/>
      <c r="T11" s="124"/>
      <c r="U11" s="124"/>
    </row>
    <row r="12" spans="1:21" customFormat="1" ht="14">
      <c r="A12" s="66" t="s">
        <v>67</v>
      </c>
      <c r="B12" s="4" t="s">
        <v>68</v>
      </c>
      <c r="C12" s="153" t="s">
        <v>12</v>
      </c>
      <c r="D12" s="59">
        <v>24656.5</v>
      </c>
      <c r="E12" s="5">
        <v>21981</v>
      </c>
      <c r="F12" s="5">
        <v>16432.2</v>
      </c>
      <c r="G12" s="5">
        <v>21186.2</v>
      </c>
      <c r="H12" s="59">
        <v>28026</v>
      </c>
      <c r="I12" s="59">
        <f>'[1]ÜDM sahələr üzrə'!AC25</f>
        <v>34935</v>
      </c>
      <c r="J12" s="5">
        <f>'[1]ÜDM sahələr üzrə'!AD25</f>
        <v>32863.9</v>
      </c>
      <c r="K12" s="6">
        <f>'[1]ÜDM sahələr üzrə'!AE25</f>
        <v>22815</v>
      </c>
      <c r="L12" s="5">
        <f>'[1]ÜDM sahələr üzrə'!AF25</f>
        <v>36222.090000000004</v>
      </c>
      <c r="M12" s="5">
        <f>'[1]ÜDM sahələr üzrə'!AG25</f>
        <v>64742.260000000009</v>
      </c>
      <c r="N12" s="5">
        <f>'[1]ÜDM sahələr üzrə'!AH25</f>
        <v>45112.800000000003</v>
      </c>
      <c r="O12" s="5">
        <f>'[1]ÜDM sahələr üzrə'!AI25</f>
        <v>41179.5</v>
      </c>
      <c r="P12" s="59">
        <f>'[1]ÜDM sahələr üzrə'!AJ25</f>
        <v>36430.199079274273</v>
      </c>
      <c r="Q12" s="5">
        <f>'[1]ÜDM sahələr üzrə'!AK25</f>
        <v>32581.136939215452</v>
      </c>
      <c r="R12" s="5">
        <f>'[1]ÜDM sahələr üzrə'!AL25</f>
        <v>31842.021058677248</v>
      </c>
      <c r="S12" s="5">
        <f>'[1]ÜDM sahələr üzrə'!AM25</f>
        <v>32227.359215867327</v>
      </c>
      <c r="T12" s="6">
        <f>'[1]ÜDM sahələr üzrə'!AN25</f>
        <v>34663.193066889835</v>
      </c>
      <c r="U12" s="6">
        <f>'[1]ÜDM sahələr üzrə'!AO25</f>
        <v>34261.719587527085</v>
      </c>
    </row>
    <row r="13" spans="1:21" customFormat="1" ht="14">
      <c r="A13" s="66" t="s">
        <v>69</v>
      </c>
      <c r="B13" s="4" t="s">
        <v>70</v>
      </c>
      <c r="C13" s="153" t="s">
        <v>12</v>
      </c>
      <c r="D13" s="59">
        <v>1866.2999999999993</v>
      </c>
      <c r="E13" s="5">
        <v>1758.7000000000007</v>
      </c>
      <c r="F13" s="5">
        <v>2061.9600000000009</v>
      </c>
      <c r="G13" s="5">
        <v>2629.1800000000003</v>
      </c>
      <c r="H13" s="59">
        <v>3986.6050000000032</v>
      </c>
      <c r="I13" s="59">
        <f>'[1]ÜDM sahələr üzrə'!AC26</f>
        <v>3893.670000000001</v>
      </c>
      <c r="J13" s="5">
        <f>'[1]ÜDM sahələr üzrə'!AD26</f>
        <v>4017.1000000000022</v>
      </c>
      <c r="K13" s="6">
        <f>'[1]ÜDM sahələr üzrə'!AE26</f>
        <v>3566.7999999999993</v>
      </c>
      <c r="L13" s="5">
        <f>'[1]ÜDM sahələr üzrə'!AF26</f>
        <v>3572.1500000000051</v>
      </c>
      <c r="M13" s="5">
        <f>'[1]ÜDM sahələr üzrə'!AG26</f>
        <v>4599.2000000000044</v>
      </c>
      <c r="N13" s="5">
        <f>'[1]ÜDM sahələr üzrə'!AH26</f>
        <v>4215.6500000000015</v>
      </c>
      <c r="O13" s="5">
        <f>'[1]ÜDM sahələr üzrə'!AI26</f>
        <v>4043.5</v>
      </c>
      <c r="P13" s="59">
        <f>'[1]ÜDM sahələr üzrə'!AJ26</f>
        <v>3922.9494444478878</v>
      </c>
      <c r="Q13" s="5">
        <f>'[1]ÜDM sahələr üzrə'!AK26</f>
        <v>3858.4133562770803</v>
      </c>
      <c r="R13" s="5">
        <f>'[1]ÜDM sahələr üzrə'!AL26</f>
        <v>3860.6148011876576</v>
      </c>
      <c r="S13" s="5">
        <f>'[1]ÜDM sahələr üzrə'!AM26</f>
        <v>4525.4668447978365</v>
      </c>
      <c r="T13" s="6">
        <f>'[1]ÜDM sahələr üzrə'!AN26</f>
        <v>5203.1177126453258</v>
      </c>
      <c r="U13" s="6">
        <f>'[1]ÜDM sahələr üzrə'!AO26</f>
        <v>5051.9807740994038</v>
      </c>
    </row>
    <row r="14" spans="1:21" customFormat="1" ht="14">
      <c r="A14" s="66" t="s">
        <v>71</v>
      </c>
      <c r="B14" s="4" t="s">
        <v>72</v>
      </c>
      <c r="C14" s="153" t="s">
        <v>12</v>
      </c>
      <c r="D14" s="59">
        <v>22790.2</v>
      </c>
      <c r="E14" s="5">
        <v>20222.3</v>
      </c>
      <c r="F14" s="5">
        <v>14370.24</v>
      </c>
      <c r="G14" s="5">
        <v>18557.02</v>
      </c>
      <c r="H14" s="59">
        <v>24039.394999999997</v>
      </c>
      <c r="I14" s="59">
        <f>'[1]ÜDM sahələr üzrə'!AC27</f>
        <v>31041.4</v>
      </c>
      <c r="J14" s="5">
        <f>'[1]ÜDM sahələr üzrə'!AD27</f>
        <v>28846.799999999999</v>
      </c>
      <c r="K14" s="6">
        <f>'[1]ÜDM sahələr üzrə'!AE27</f>
        <v>19248.2</v>
      </c>
      <c r="L14" s="5">
        <f>'[1]ÜDM sahələr üzrə'!AF27</f>
        <v>32649.94</v>
      </c>
      <c r="M14" s="5">
        <f>'[1]ÜDM sahələr üzrə'!AG27</f>
        <v>60143.060000000005</v>
      </c>
      <c r="N14" s="5">
        <f>'[1]ÜDM sahələr üzrə'!AH27</f>
        <v>40897.15</v>
      </c>
      <c r="O14" s="5">
        <f>'[1]ÜDM sahələr üzrə'!AI27</f>
        <v>37136</v>
      </c>
      <c r="P14" s="59">
        <f>'[1]ÜDM sahələr üzrə'!AJ27</f>
        <v>32507.249634826385</v>
      </c>
      <c r="Q14" s="5">
        <f>'[1]ÜDM sahələr üzrə'!AK27</f>
        <v>28722.723582938372</v>
      </c>
      <c r="R14" s="5">
        <f>'[1]ÜDM sahələr üzrə'!AL27</f>
        <v>27981.406257489591</v>
      </c>
      <c r="S14" s="5">
        <f>'[1]ÜDM sahələr üzrə'!AM27</f>
        <v>27701.892371069491</v>
      </c>
      <c r="T14" s="6">
        <f>'[1]ÜDM sahələr üzrə'!AN27</f>
        <v>29460.075354244509</v>
      </c>
      <c r="U14" s="6">
        <f>'[1]ÜDM sahələr üzrə'!AO27</f>
        <v>29209.738813427681</v>
      </c>
    </row>
    <row r="15" spans="1:21" customFormat="1" ht="14">
      <c r="A15" s="66"/>
      <c r="B15" s="4" t="s">
        <v>73</v>
      </c>
      <c r="C15" s="153" t="s">
        <v>6</v>
      </c>
      <c r="D15" s="59">
        <v>92.430799180743421</v>
      </c>
      <c r="E15" s="5">
        <v>91.998999135617126</v>
      </c>
      <c r="F15" s="5">
        <v>87.451710665644271</v>
      </c>
      <c r="G15" s="5">
        <v>87.590129423870252</v>
      </c>
      <c r="H15" s="59">
        <v>85.77533361878254</v>
      </c>
      <c r="I15" s="59">
        <f>'[1]ÜDM sahələr üzrə'!AC28</f>
        <v>88.854730213253191</v>
      </c>
      <c r="J15" s="5">
        <f>'[1]ÜDM sahələr üzrə'!AD28</f>
        <v>87.776557255833893</v>
      </c>
      <c r="K15" s="6">
        <f>'[1]ÜDM sahələr üzrə'!AE28</f>
        <v>84.366425597194834</v>
      </c>
      <c r="L15" s="5">
        <f>'[1]ÜDM sahələr üzrə'!AF28</f>
        <v>90.138200197724643</v>
      </c>
      <c r="M15" s="5">
        <f>'[1]ÜDM sahələr üzrə'!AG28</f>
        <v>92.896139245061875</v>
      </c>
      <c r="N15" s="5">
        <f>'[1]ÜDM sahələr üzrə'!AH28</f>
        <v>90.655312904541503</v>
      </c>
      <c r="O15" s="5">
        <f>'[1]ÜDM sahələr üzrə'!AI28</f>
        <v>90.180793841595943</v>
      </c>
      <c r="P15" s="59">
        <f>'[1]ÜDM sahələr üzrə'!AJ28</f>
        <v>89.231600310744057</v>
      </c>
      <c r="Q15" s="5">
        <f>'[1]ÜDM sahələr üzrə'!AK28</f>
        <v>88.157523896494226</v>
      </c>
      <c r="R15" s="5">
        <f>'[1]ÜDM sahələr üzrə'!AL28</f>
        <v>87.875723107922497</v>
      </c>
      <c r="S15" s="5">
        <f>'[1]ÜDM sahələr üzrə'!AM28</f>
        <v>85.957686404011355</v>
      </c>
      <c r="T15" s="6">
        <f>'[1]ÜDM sahələr üzrə'!AN28</f>
        <v>84.989502546390256</v>
      </c>
      <c r="U15" s="6">
        <f>'[1]ÜDM sahələr üzrə'!AO28</f>
        <v>85.254736671364952</v>
      </c>
    </row>
    <row r="16" spans="1:21" customFormat="1" ht="14">
      <c r="A16" s="66"/>
      <c r="B16" s="3" t="s">
        <v>16</v>
      </c>
      <c r="C16" s="153" t="s">
        <v>6</v>
      </c>
      <c r="D16" s="59">
        <v>0.65307656136810976</v>
      </c>
      <c r="E16" s="5">
        <v>-2.7035703942922709</v>
      </c>
      <c r="F16" s="5">
        <v>0.92485127804451395</v>
      </c>
      <c r="G16" s="5">
        <v>0.74599213374307283</v>
      </c>
      <c r="H16" s="59">
        <v>-4.6299529019206602</v>
      </c>
      <c r="I16" s="59">
        <f>'[1]ÜDM sahələr üzrə'!AC29</f>
        <v>0.36036077439536029</v>
      </c>
      <c r="J16" s="5">
        <f>'[1]ÜDM sahələr üzrə'!AD29</f>
        <v>0.59694488650640665</v>
      </c>
      <c r="K16" s="6">
        <f>'[1]ÜDM sahələr üzrə'!AE29</f>
        <v>-6.6697786478916044</v>
      </c>
      <c r="L16" s="5">
        <f>'[1]ÜDM sahələr üzrə'!AF29</f>
        <v>0.54720888706476956</v>
      </c>
      <c r="M16" s="5">
        <f>'[1]ÜDM sahələr üzrə'!AG29</f>
        <v>-2.3789936643068756</v>
      </c>
      <c r="N16" s="5">
        <f>'[1]ÜDM sahələr üzrə'!AH29</f>
        <v>-3.076410096193996</v>
      </c>
      <c r="O16" s="5">
        <f>'[1]ÜDM sahələr üzrə'!AI29</f>
        <v>0.81941832132557124</v>
      </c>
      <c r="P16" s="59">
        <f>'[1]ÜDM sahələr üzrə'!AJ29</f>
        <v>-0.37594767416373998</v>
      </c>
      <c r="Q16" s="5">
        <f>'[1]ÜDM sahələr üzrə'!AK29</f>
        <v>-1.6444258934403422</v>
      </c>
      <c r="R16" s="5">
        <f>'[1]ÜDM sahələr üzrə'!AL29</f>
        <v>-2.2071807956578198</v>
      </c>
      <c r="S16" s="5">
        <f>'[1]ÜDM sahələr üzrə'!AM29</f>
        <v>-0.57651616388665161</v>
      </c>
      <c r="T16" s="6">
        <f>'[1]ÜDM sahələr üzrə'!AN29</f>
        <v>5.6067653492092546</v>
      </c>
      <c r="U16" s="6">
        <f>'[1]ÜDM sahələr üzrə'!AO29</f>
        <v>-1.6208315536881628</v>
      </c>
    </row>
    <row r="17" spans="1:21" customFormat="1" ht="14">
      <c r="A17" s="67"/>
      <c r="B17" s="8" t="s">
        <v>56</v>
      </c>
      <c r="C17" s="154" t="s">
        <v>6</v>
      </c>
      <c r="D17" s="60">
        <v>-4.0819106190477044</v>
      </c>
      <c r="E17" s="10">
        <v>-8.8019591404473658</v>
      </c>
      <c r="F17" s="10">
        <v>-29.589836238689728</v>
      </c>
      <c r="G17" s="10">
        <v>28.178869314338186</v>
      </c>
      <c r="H17" s="60">
        <v>35.83237698388254</v>
      </c>
      <c r="I17" s="60">
        <f>'[1]ÜDM sahələr üzrə'!AC30</f>
        <v>28.663529981773848</v>
      </c>
      <c r="J17" s="10">
        <f>'[1]ÜDM sahələr üzrə'!AD30</f>
        <v>-7.6213626357870794</v>
      </c>
      <c r="K17" s="11">
        <f>'[1]ÜDM sahələr üzrə'!AE30</f>
        <v>-28.505903325583915</v>
      </c>
      <c r="L17" s="10">
        <f>'[1]ÜDM sahələr üzrə'!AF30</f>
        <v>68.702782430659994</v>
      </c>
      <c r="M17" s="10">
        <f>'[1]ÜDM sahələr üzrə'!AG30</f>
        <v>88.694765532007438</v>
      </c>
      <c r="N17" s="10">
        <f>'[1]ÜDM sahələr üzrə'!AH30</f>
        <v>-29.841865549928372</v>
      </c>
      <c r="O17" s="10">
        <f>'[1]ÜDM sahələr üzrə'!AI30</f>
        <v>-9.9346188438720446</v>
      </c>
      <c r="P17" s="60">
        <f>'[1]ÜDM sahələr üzrə'!AJ30</f>
        <v>-12.133991102572935</v>
      </c>
      <c r="Q17" s="10">
        <f>'[1]ÜDM sahələr üzrə'!AK30</f>
        <v>-10.164825724344638</v>
      </c>
      <c r="R17" s="10">
        <f>'[1]ÜDM sahələr üzrə'!AL30</f>
        <v>-0.38219872348879846</v>
      </c>
      <c r="S17" s="10">
        <f>'[1]ÜDM sahələr üzrə'!AM30</f>
        <v>-0.42486045522991844</v>
      </c>
      <c r="T17" s="11">
        <f>'[1]ÜDM sahələr üzrə'!AN30</f>
        <v>0.70074302780692221</v>
      </c>
      <c r="U17" s="11">
        <f>'[1]ÜDM sahələr üzrə'!AO30</f>
        <v>0.78378694563032525</v>
      </c>
    </row>
    <row r="18" spans="1:21" customFormat="1" ht="14" hidden="1">
      <c r="A18" s="68" t="s">
        <v>32</v>
      </c>
      <c r="B18" s="25" t="s">
        <v>75</v>
      </c>
      <c r="C18" s="163"/>
      <c r="D18" s="40"/>
      <c r="E18" s="18"/>
      <c r="F18" s="18"/>
      <c r="G18" s="18"/>
      <c r="H18" s="40"/>
      <c r="I18" s="40"/>
      <c r="J18" s="18"/>
      <c r="K18" s="19"/>
      <c r="L18" s="18"/>
      <c r="M18" s="18"/>
      <c r="N18" s="18"/>
      <c r="O18" s="18"/>
      <c r="P18" s="40"/>
      <c r="Q18" s="18"/>
      <c r="R18" s="18"/>
      <c r="S18" s="18"/>
      <c r="T18" s="19"/>
      <c r="U18" s="19"/>
    </row>
    <row r="19" spans="1:21" customFormat="1" ht="14" hidden="1">
      <c r="A19" s="66" t="s">
        <v>67</v>
      </c>
      <c r="B19" s="4" t="s">
        <v>68</v>
      </c>
      <c r="C19" s="153" t="s">
        <v>12</v>
      </c>
      <c r="D19" s="59">
        <v>23657.8</v>
      </c>
      <c r="E19" s="5">
        <v>20976.799999999999</v>
      </c>
      <c r="F19" s="5">
        <v>14787.2</v>
      </c>
      <c r="G19" s="5">
        <v>18846.8</v>
      </c>
      <c r="H19" s="59">
        <v>24374.9</v>
      </c>
      <c r="I19" s="59">
        <f>'[1]ÜDM sahələr üzrə'!AC33</f>
        <v>31417.200000000001</v>
      </c>
      <c r="J19" s="5">
        <f>'[1]ÜDM sahələr üzrə'!AD33</f>
        <v>29261.599999999999</v>
      </c>
      <c r="K19" s="6">
        <f>'[1]ÜDM sahələr üzrə'!AE33</f>
        <v>19320.599999999999</v>
      </c>
      <c r="L19" s="5">
        <f>'[1]ÜDM sahələr üzrə'!AF33</f>
        <v>33711.9</v>
      </c>
      <c r="M19" s="5">
        <f>'[1]ÜDM sahələr üzrə'!AG33</f>
        <v>62293.26</v>
      </c>
      <c r="N19" s="5">
        <f>'[1]ÜDM sahələr üzrə'!AH33</f>
        <v>42133.5</v>
      </c>
      <c r="O19" s="5">
        <f>'[1]ÜDM sahələr üzrə'!AI33</f>
        <v>38009.599999999999</v>
      </c>
      <c r="P19" s="59">
        <f>'[1]ÜDM sahələr üzrə'!AJ33</f>
        <v>32631.382878933386</v>
      </c>
      <c r="Q19" s="5">
        <f>'[1]ÜDM sahələr üzrə'!AK33</f>
        <v>28222.882377223978</v>
      </c>
      <c r="R19" s="5">
        <f>'[1]ÜDM sahələr üzrə'!AL33</f>
        <v>27277.145516744262</v>
      </c>
      <c r="S19" s="5">
        <f>'[1]ÜDM sahələr üzrə'!AM33</f>
        <v>26145.9076793067</v>
      </c>
      <c r="T19" s="6">
        <f>'[1]ÜDM sahələr üzrə'!AN33</f>
        <v>27368.488162104717</v>
      </c>
      <c r="U19" s="6">
        <f>'[1]ÜDM sahələr üzrə'!AO33</f>
        <v>27258.693618393336</v>
      </c>
    </row>
    <row r="20" spans="1:21" customFormat="1" ht="14" hidden="1">
      <c r="A20" s="66" t="s">
        <v>69</v>
      </c>
      <c r="B20" s="4" t="s">
        <v>70</v>
      </c>
      <c r="C20" s="153" t="s">
        <v>12</v>
      </c>
      <c r="D20" s="59">
        <v>1238.2999999999993</v>
      </c>
      <c r="E20" s="5">
        <v>1130</v>
      </c>
      <c r="F20" s="5">
        <v>1030.9000000000015</v>
      </c>
      <c r="G20" s="5">
        <v>1162.7599999999984</v>
      </c>
      <c r="H20" s="59">
        <v>1699.8000000000029</v>
      </c>
      <c r="I20" s="59">
        <f>'[1]ÜDM sahələr üzrə'!AC34</f>
        <v>1702.7000000000007</v>
      </c>
      <c r="J20" s="5">
        <f>'[1]ÜDM sahələr üzrə'!AD34</f>
        <v>1754.4499999999971</v>
      </c>
      <c r="K20" s="6">
        <f>'[1]ÜDM sahələr üzrə'!AE34</f>
        <v>1668.0099999999984</v>
      </c>
      <c r="L20" s="5">
        <f>'[1]ÜDM sahələr üzrə'!AF34</f>
        <v>2516.5999999999985</v>
      </c>
      <c r="M20" s="5">
        <f>'[1]ÜDM sahələr üzrə'!AG34</f>
        <v>3570.5999999999985</v>
      </c>
      <c r="N20" s="5">
        <f>'[1]ÜDM sahələr üzrə'!AH34</f>
        <v>3047.3000000000029</v>
      </c>
      <c r="O20" s="5">
        <f>'[1]ÜDM sahələr üzrə'!AI34</f>
        <v>2793.9000000000015</v>
      </c>
      <c r="P20" s="59">
        <f>'[1]ÜDM sahələr üzrə'!AJ34</f>
        <v>2398.5735347241753</v>
      </c>
      <c r="Q20" s="5">
        <f>'[1]ÜDM sahələr üzrə'!AK34</f>
        <v>2074.5262005842233</v>
      </c>
      <c r="R20" s="5">
        <f>'[1]ÜDM sahələr üzrə'!AL34</f>
        <v>2005.009704370259</v>
      </c>
      <c r="S20" s="5">
        <f>'[1]ÜDM sahələr üzrə'!AM34</f>
        <v>1921.8579376056296</v>
      </c>
      <c r="T20" s="6">
        <f>'[1]ÜDM sahələr üzrə'!AN34</f>
        <v>2011.7238559759753</v>
      </c>
      <c r="U20" s="6">
        <f>'[1]ÜDM sahələr üzrə'!AO34</f>
        <v>2003.6533954692823</v>
      </c>
    </row>
    <row r="21" spans="1:21" customFormat="1" ht="14" hidden="1">
      <c r="A21" s="66" t="s">
        <v>71</v>
      </c>
      <c r="B21" s="4" t="s">
        <v>72</v>
      </c>
      <c r="C21" s="153" t="s">
        <v>12</v>
      </c>
      <c r="D21" s="59">
        <v>22419.5</v>
      </c>
      <c r="E21" s="5">
        <v>19846.8</v>
      </c>
      <c r="F21" s="5">
        <v>13756.3</v>
      </c>
      <c r="G21" s="5">
        <v>17684.04</v>
      </c>
      <c r="H21" s="59">
        <v>22675.1</v>
      </c>
      <c r="I21" s="59">
        <f>'[1]ÜDM sahələr üzrə'!AC35</f>
        <v>29714.5</v>
      </c>
      <c r="J21" s="5">
        <f>'[1]ÜDM sahələr üzrə'!AD35</f>
        <v>27507.15</v>
      </c>
      <c r="K21" s="6">
        <f>'[1]ÜDM sahələr üzrə'!AE35</f>
        <v>17652.59</v>
      </c>
      <c r="L21" s="5">
        <f>'[1]ÜDM sahələr üzrə'!AF35</f>
        <v>31195.300000000003</v>
      </c>
      <c r="M21" s="5">
        <f>'[1]ÜDM sahələr üzrə'!AG35</f>
        <v>58722.66</v>
      </c>
      <c r="N21" s="5">
        <f>'[1]ÜDM sahələr üzrə'!AH35</f>
        <v>39086.199999999997</v>
      </c>
      <c r="O21" s="5">
        <f>'[1]ÜDM sahələr üzrə'!AI35</f>
        <v>35215.699999999997</v>
      </c>
      <c r="P21" s="59">
        <f>'[1]ÜDM sahələr üzrə'!AJ35</f>
        <v>30232.80934420921</v>
      </c>
      <c r="Q21" s="5">
        <f>'[1]ÜDM sahələr üzrə'!AK35</f>
        <v>26148.356176639754</v>
      </c>
      <c r="R21" s="5">
        <f>'[1]ÜDM sahələr üzrə'!AL35</f>
        <v>25272.135812374003</v>
      </c>
      <c r="S21" s="5">
        <f>'[1]ÜDM sahələr üzrə'!AM35</f>
        <v>24224.04974170107</v>
      </c>
      <c r="T21" s="6">
        <f>'[1]ÜDM sahələr üzrə'!AN35</f>
        <v>25356.764306128742</v>
      </c>
      <c r="U21" s="6">
        <f>'[1]ÜDM sahələr üzrə'!AO35</f>
        <v>25255.040222924054</v>
      </c>
    </row>
    <row r="22" spans="1:21" customFormat="1" ht="14" hidden="1">
      <c r="A22" s="66"/>
      <c r="B22" s="4" t="s">
        <v>73</v>
      </c>
      <c r="C22" s="153" t="s">
        <v>6</v>
      </c>
      <c r="D22" s="59">
        <v>94.76578549146582</v>
      </c>
      <c r="E22" s="5">
        <v>94.613096373136045</v>
      </c>
      <c r="F22" s="5">
        <v>93.028429993507885</v>
      </c>
      <c r="G22" s="5">
        <v>93.830464588152907</v>
      </c>
      <c r="H22" s="59">
        <v>93.0264329289556</v>
      </c>
      <c r="I22" s="59">
        <f>'[1]ÜDM sahələr üzrə'!AC36</f>
        <v>94.580357256534626</v>
      </c>
      <c r="J22" s="5">
        <f>'[1]ÜDM sahələr üzrə'!AD36</f>
        <v>94.004258140361443</v>
      </c>
      <c r="K22" s="6">
        <f>'[1]ÜDM sahələr üzrə'!AE36</f>
        <v>91.36667598314753</v>
      </c>
      <c r="L22" s="5">
        <f>'[1]ÜDM sahələr üzrə'!AF36</f>
        <v>92.53498022953319</v>
      </c>
      <c r="M22" s="5">
        <f>'[1]ÜDM sahələr üzrə'!AG36</f>
        <v>94.268079724837008</v>
      </c>
      <c r="N22" s="5">
        <f>'[1]ÜDM sahələr üzrə'!AH36</f>
        <v>92.767512786737385</v>
      </c>
      <c r="O22" s="5">
        <f>'[1]ÜDM sahələr üzrə'!AI36</f>
        <v>92.649488550260983</v>
      </c>
      <c r="P22" s="59">
        <f>'[1]ÜDM sahələr üzrə'!AJ36</f>
        <v>92.649488550260983</v>
      </c>
      <c r="Q22" s="5">
        <f>'[1]ÜDM sahələr üzrə'!AK36</f>
        <v>92.649488550260983</v>
      </c>
      <c r="R22" s="5">
        <f>'[1]ÜDM sahələr üzrə'!AL36</f>
        <v>92.649488550260983</v>
      </c>
      <c r="S22" s="5">
        <f>'[1]ÜDM sahələr üzrə'!AM36</f>
        <v>92.649488550260983</v>
      </c>
      <c r="T22" s="6">
        <f>'[1]ÜDM sahələr üzrə'!AN36</f>
        <v>92.649488550260983</v>
      </c>
      <c r="U22" s="6">
        <f>'[1]ÜDM sahələr üzrə'!AO36</f>
        <v>92.649488550260983</v>
      </c>
    </row>
    <row r="23" spans="1:21" customFormat="1" ht="14" hidden="1">
      <c r="A23" s="66"/>
      <c r="B23" s="3" t="s">
        <v>16</v>
      </c>
      <c r="C23" s="153" t="s">
        <v>6</v>
      </c>
      <c r="D23" s="59">
        <v>0.47701330207826231</v>
      </c>
      <c r="E23" s="5">
        <v>-2.7999999999999972</v>
      </c>
      <c r="F23" s="5">
        <v>-0.5</v>
      </c>
      <c r="G23" s="5">
        <v>-0.2</v>
      </c>
      <c r="H23" s="59">
        <v>-6.165</v>
      </c>
      <c r="I23" s="59">
        <f>'[1]ÜDM sahələr üzrə'!AC37</f>
        <v>1.07</v>
      </c>
      <c r="J23" s="5">
        <f>'[1]ÜDM sahələr üzrə'!AD37</f>
        <v>0.23</v>
      </c>
      <c r="K23" s="6">
        <f>'[1]ÜDM sahələr üzrə'!AE37</f>
        <v>-6.1</v>
      </c>
      <c r="L23" s="5">
        <f>'[1]ÜDM sahələr üzrə'!AF37</f>
        <v>4.7699999999999996</v>
      </c>
      <c r="M23" s="5">
        <f>'[1]ÜDM sahələr üzrə'!AG37</f>
        <v>-1.7829999999999999</v>
      </c>
      <c r="N23" s="5">
        <f>'[1]ÜDM sahələr üzrə'!AH37</f>
        <v>-3.1</v>
      </c>
      <c r="O23" s="5">
        <f>'[1]ÜDM sahələr üzrə'!AI37</f>
        <v>1.095</v>
      </c>
      <c r="P23" s="59">
        <f>'[1]ÜDM sahələr üzrə'!AJ37</f>
        <v>-1.036024446946731</v>
      </c>
      <c r="Q23" s="5">
        <f>'[1]ÜDM sahələr üzrə'!AK37</f>
        <v>-2.5544230019389382</v>
      </c>
      <c r="R23" s="5">
        <f>'[1]ÜDM sahələr üzrə'!AL37</f>
        <v>-2.5996838329959644</v>
      </c>
      <c r="S23" s="5">
        <f>'[1]ÜDM sahələr üzrə'!AM37</f>
        <v>-3.1970857702915501</v>
      </c>
      <c r="T23" s="6">
        <f>'[1]ÜDM sahələr üzrə'!AN37</f>
        <v>4.3908093577082754</v>
      </c>
      <c r="U23" s="6">
        <f>'[1]ÜDM sahələr üzrə'!AO37</f>
        <v>-0.68427470199206297</v>
      </c>
    </row>
    <row r="24" spans="1:21" customFormat="1" ht="14" hidden="1">
      <c r="A24" s="67"/>
      <c r="B24" s="8" t="s">
        <v>56</v>
      </c>
      <c r="C24" s="154" t="s">
        <v>6</v>
      </c>
      <c r="D24" s="60">
        <v>-3.8515970768861365</v>
      </c>
      <c r="E24" s="10">
        <v>-8.9251833514640424</v>
      </c>
      <c r="F24" s="10">
        <v>-30.339263076776149</v>
      </c>
      <c r="G24" s="10">
        <v>28.809919512629364</v>
      </c>
      <c r="H24" s="60">
        <v>36.647869246902076</v>
      </c>
      <c r="I24" s="60">
        <f>'[1]ÜDM sahələr üzrə'!AC38</f>
        <v>29.657293008356163</v>
      </c>
      <c r="J24" s="10">
        <f>'[1]ÜDM sahələr üzrə'!AD38</f>
        <v>-7.6409539655319634</v>
      </c>
      <c r="K24" s="11">
        <f>'[1]ÜDM sahələr üzrə'!AE38</f>
        <v>-31.656495228560743</v>
      </c>
      <c r="L24" s="10">
        <f>'[1]ÜDM sahələr üzrə'!AF38</f>
        <v>68.67230825805305</v>
      </c>
      <c r="M24" s="10">
        <f>'[1]ÜDM sahələr üzrə'!AG38</f>
        <v>91.659296064562994</v>
      </c>
      <c r="N24" s="10">
        <f>'[1]ÜDM sahələr üzrə'!AH38</f>
        <v>-31.309930941625709</v>
      </c>
      <c r="O24" s="10">
        <f>'[1]ÜDM sahələr üzrə'!AI38</f>
        <v>-10.878353995949382</v>
      </c>
      <c r="P24" s="60">
        <f>'[1]ÜDM sahələr üzrə'!AJ38</f>
        <v>-13.250886281602305</v>
      </c>
      <c r="Q24" s="10">
        <f>'[1]ÜDM sahələr üzrə'!AK38</f>
        <v>-11.242766889379965</v>
      </c>
      <c r="R24" s="10">
        <f>'[1]ÜDM sahələr üzrə'!AL38</f>
        <v>-0.77132593923479931</v>
      </c>
      <c r="S24" s="10">
        <f>'[1]ÜDM sahələr üzrə'!AM38</f>
        <v>-0.98149363785194055</v>
      </c>
      <c r="T24" s="11">
        <f>'[1]ÜDM sahələr üzrə'!AN38</f>
        <v>0.27318724859020449</v>
      </c>
      <c r="U24" s="11">
        <f>'[1]ÜDM sahələr üzrə'!AO38</f>
        <v>0.2850538659336479</v>
      </c>
    </row>
    <row r="25" spans="1:21" customFormat="1" ht="14" hidden="1">
      <c r="A25" s="68" t="s">
        <v>33</v>
      </c>
      <c r="B25" s="25" t="s">
        <v>76</v>
      </c>
      <c r="C25" s="163"/>
      <c r="D25" s="40"/>
      <c r="E25" s="18"/>
      <c r="F25" s="18"/>
      <c r="G25" s="18"/>
      <c r="H25" s="40"/>
      <c r="I25" s="40"/>
      <c r="J25" s="18"/>
      <c r="K25" s="19"/>
      <c r="L25" s="18"/>
      <c r="M25" s="18"/>
      <c r="N25" s="18"/>
      <c r="O25" s="18"/>
      <c r="P25" s="40"/>
      <c r="Q25" s="18"/>
      <c r="R25" s="18"/>
      <c r="S25" s="18"/>
      <c r="T25" s="19"/>
      <c r="U25" s="19"/>
    </row>
    <row r="26" spans="1:21" customFormat="1" ht="14" hidden="1">
      <c r="A26" s="66" t="s">
        <v>67</v>
      </c>
      <c r="B26" s="4" t="s">
        <v>68</v>
      </c>
      <c r="C26" s="153" t="s">
        <v>12</v>
      </c>
      <c r="D26" s="59">
        <v>52.4</v>
      </c>
      <c r="E26" s="5">
        <v>55</v>
      </c>
      <c r="F26" s="5">
        <v>92.5</v>
      </c>
      <c r="G26" s="5">
        <v>127.9</v>
      </c>
      <c r="H26" s="59">
        <v>262.60000000000002</v>
      </c>
      <c r="I26" s="59">
        <f>'[1]ÜDM sahələr üzrə'!AC40</f>
        <v>248.4</v>
      </c>
      <c r="J26" s="5">
        <f>'[1]ÜDM sahələr üzrə'!AD40</f>
        <v>312.7</v>
      </c>
      <c r="K26" s="6">
        <f>'[1]ÜDM sahələr üzrə'!AE40</f>
        <v>390.4</v>
      </c>
      <c r="L26" s="5">
        <f>'[1]ÜDM sahələr üzrə'!AF40</f>
        <v>385.39</v>
      </c>
      <c r="M26" s="5">
        <f>'[1]ÜDM sahələr üzrə'!AG40</f>
        <v>361.4</v>
      </c>
      <c r="N26" s="5">
        <f>'[1]ÜDM sahələr üzrə'!AH40</f>
        <v>332.3</v>
      </c>
      <c r="O26" s="5">
        <f>'[1]ÜDM sahələr üzrə'!AI40</f>
        <v>382.4</v>
      </c>
      <c r="P26" s="59">
        <f>'[1]ÜDM sahələr üzrə'!AJ40</f>
        <v>637.19127761319942</v>
      </c>
      <c r="Q26" s="5">
        <f>'[1]ÜDM sahələr üzrə'!AK40</f>
        <v>947.74518458314992</v>
      </c>
      <c r="R26" s="5">
        <f>'[1]ÜDM sahələr üzrə'!AL40</f>
        <v>879.92983954166311</v>
      </c>
      <c r="S26" s="5">
        <f>'[1]ÜDM sahələr üzrə'!AM40</f>
        <v>2068.5754891951797</v>
      </c>
      <c r="T26" s="6">
        <f>'[1]ÜDM sahələr üzrə'!AN40</f>
        <v>2926.9810384618004</v>
      </c>
      <c r="U26" s="6">
        <f>'[1]ÜDM sahələr üzrə'!AO40</f>
        <v>2595.7404572063647</v>
      </c>
    </row>
    <row r="27" spans="1:21" customFormat="1" ht="14" hidden="1">
      <c r="A27" s="66" t="s">
        <v>69</v>
      </c>
      <c r="B27" s="4" t="s">
        <v>70</v>
      </c>
      <c r="C27" s="153" t="s">
        <v>12</v>
      </c>
      <c r="D27" s="59">
        <v>35.200000000000003</v>
      </c>
      <c r="E27" s="5">
        <v>36.799999999999997</v>
      </c>
      <c r="F27" s="5">
        <v>61.6</v>
      </c>
      <c r="G27" s="5">
        <v>85.300000000000011</v>
      </c>
      <c r="H27" s="59">
        <v>175.16000000000003</v>
      </c>
      <c r="I27" s="59">
        <f>'[1]ÜDM sahələr üzrə'!AC41</f>
        <v>164.2</v>
      </c>
      <c r="J27" s="5">
        <f>'[1]ÜDM sahələr üzrə'!AD41</f>
        <v>206.99</v>
      </c>
      <c r="K27" s="6">
        <f>'[1]ÜDM sahələr üzrə'!AE41</f>
        <v>244.7</v>
      </c>
      <c r="L27" s="5">
        <f>'[1]ÜDM sahələr üzrə'!AF41</f>
        <v>189.49</v>
      </c>
      <c r="M27" s="5">
        <f>'[1]ÜDM sahələr üzrə'!AG41</f>
        <v>198.99999999999997</v>
      </c>
      <c r="N27" s="5">
        <f>'[1]ÜDM sahələr üzrə'!AH41</f>
        <v>173.5</v>
      </c>
      <c r="O27" s="5">
        <f>'[1]ÜDM sahələr üzrə'!AI41</f>
        <v>199.59999999999997</v>
      </c>
      <c r="P27" s="59">
        <f>'[1]ÜDM sahələr üzrə'!AJ41</f>
        <v>332.59251833575991</v>
      </c>
      <c r="Q27" s="5">
        <f>'[1]ÜDM sahələr üzrə'!AK41</f>
        <v>494.69126266421728</v>
      </c>
      <c r="R27" s="5">
        <f>'[1]ÜDM sahələr üzrə'!AL41</f>
        <v>459.29392252226972</v>
      </c>
      <c r="S27" s="5">
        <f>'[1]ÜDM sahələr üzrə'!AM41</f>
        <v>1079.7271643393249</v>
      </c>
      <c r="T27" s="6">
        <f>'[1]ÜDM sahələr üzrə'!AN41</f>
        <v>1527.786127816358</v>
      </c>
      <c r="U27" s="6">
        <f>'[1]ÜDM sahələr üzrə'!AO41</f>
        <v>1354.8896319518576</v>
      </c>
    </row>
    <row r="28" spans="1:21" customFormat="1" ht="14" hidden="1">
      <c r="A28" s="66" t="s">
        <v>71</v>
      </c>
      <c r="B28" s="4" t="s">
        <v>72</v>
      </c>
      <c r="C28" s="153" t="s">
        <v>12</v>
      </c>
      <c r="D28" s="59">
        <v>17.2</v>
      </c>
      <c r="E28" s="5">
        <v>18.2</v>
      </c>
      <c r="F28" s="5">
        <v>30.9</v>
      </c>
      <c r="G28" s="5">
        <v>42.6</v>
      </c>
      <c r="H28" s="59">
        <v>87.44</v>
      </c>
      <c r="I28" s="59">
        <f>'[1]ÜDM sahələr üzrə'!AC42</f>
        <v>84.2</v>
      </c>
      <c r="J28" s="5">
        <f>'[1]ÜDM sahələr üzrə'!AD42</f>
        <v>105.71</v>
      </c>
      <c r="K28" s="6">
        <f>'[1]ÜDM sahələr üzrə'!AE42</f>
        <v>145.69999999999999</v>
      </c>
      <c r="L28" s="5">
        <f>'[1]ÜDM sahələr üzrə'!AF42</f>
        <v>195.89999999999998</v>
      </c>
      <c r="M28" s="5">
        <f>'[1]ÜDM sahələr üzrə'!AG42</f>
        <v>162.4</v>
      </c>
      <c r="N28" s="5">
        <f>'[1]ÜDM sahələr üzrə'!AH42</f>
        <v>158.80000000000001</v>
      </c>
      <c r="O28" s="5">
        <f>'[1]ÜDM sahələr üzrə'!AI42</f>
        <v>182.8</v>
      </c>
      <c r="P28" s="59">
        <f>'[1]ÜDM sahələr üzrə'!AJ42</f>
        <v>304.59875927743951</v>
      </c>
      <c r="Q28" s="5">
        <f>'[1]ÜDM sahələr üzrə'!AK42</f>
        <v>453.05392191893264</v>
      </c>
      <c r="R28" s="5">
        <f>'[1]ÜDM sahələr üzrə'!AL42</f>
        <v>420.63591701939339</v>
      </c>
      <c r="S28" s="5">
        <f>'[1]ÜDM sahələr üzrə'!AM42</f>
        <v>988.8483248558548</v>
      </c>
      <c r="T28" s="6">
        <f>'[1]ÜDM sahələr üzrə'!AN42</f>
        <v>1399.1949106454424</v>
      </c>
      <c r="U28" s="6">
        <f>'[1]ÜDM sahələr üzrə'!AO42</f>
        <v>1240.8508252545071</v>
      </c>
    </row>
    <row r="29" spans="1:21" customFormat="1" ht="14" hidden="1">
      <c r="A29" s="66"/>
      <c r="B29" s="4" t="s">
        <v>73</v>
      </c>
      <c r="C29" s="153" t="s">
        <v>6</v>
      </c>
      <c r="D29" s="59">
        <v>32.824427480916029</v>
      </c>
      <c r="E29" s="5">
        <v>33.090909090909086</v>
      </c>
      <c r="F29" s="5">
        <v>33.405405405405403</v>
      </c>
      <c r="G29" s="5">
        <v>33.307271305707587</v>
      </c>
      <c r="H29" s="59">
        <v>33.297791317593294</v>
      </c>
      <c r="I29" s="59">
        <f>'[1]ÜDM sahələr üzrə'!AC43</f>
        <v>33.896940418679549</v>
      </c>
      <c r="J29" s="5">
        <f>'[1]ÜDM sahələr üzrə'!AD43</f>
        <v>33.805564438759191</v>
      </c>
      <c r="K29" s="6">
        <f>'[1]ÜDM sahələr üzrə'!AE43</f>
        <v>37.320696721311478</v>
      </c>
      <c r="L29" s="5">
        <f>'[1]ÜDM sahələr üzrə'!AF43</f>
        <v>50.831625107034426</v>
      </c>
      <c r="M29" s="5">
        <f>'[1]ÜDM sahələr üzrə'!AG43</f>
        <v>44.936358605423358</v>
      </c>
      <c r="N29" s="5">
        <f>'[1]ÜDM sahələr üzrə'!AH43</f>
        <v>47.788143244056577</v>
      </c>
      <c r="O29" s="5">
        <f>'[1]ÜDM sahələr üzrə'!AI43</f>
        <v>47.803347280334734</v>
      </c>
      <c r="P29" s="59">
        <f>'[1]ÜDM sahələr üzrə'!AJ43</f>
        <v>47.803347280334734</v>
      </c>
      <c r="Q29" s="5">
        <f>'[1]ÜDM sahələr üzrə'!AK43</f>
        <v>47.803347280334734</v>
      </c>
      <c r="R29" s="5">
        <f>'[1]ÜDM sahələr üzrə'!AL43</f>
        <v>47.803347280334734</v>
      </c>
      <c r="S29" s="5">
        <f>'[1]ÜDM sahələr üzrə'!AM43</f>
        <v>47.803347280334734</v>
      </c>
      <c r="T29" s="6">
        <f>'[1]ÜDM sahələr üzrə'!AN43</f>
        <v>47.803347280334734</v>
      </c>
      <c r="U29" s="6">
        <f>'[1]ÜDM sahələr üzrə'!AO43</f>
        <v>47.803347280334734</v>
      </c>
    </row>
    <row r="30" spans="1:21" customFormat="1" ht="14" hidden="1">
      <c r="A30" s="66"/>
      <c r="B30" s="3" t="s">
        <v>16</v>
      </c>
      <c r="C30" s="153" t="s">
        <v>6</v>
      </c>
      <c r="D30" s="59">
        <v>-2.7</v>
      </c>
      <c r="E30" s="5">
        <v>16.100000000000001</v>
      </c>
      <c r="F30" s="5">
        <v>20.100000000000001</v>
      </c>
      <c r="G30" s="5">
        <v>-11.58</v>
      </c>
      <c r="H30" s="59">
        <v>206.55500000000001</v>
      </c>
      <c r="I30" s="59">
        <f>'[1]ÜDM sahələr üzrə'!AC44</f>
        <v>-32.78</v>
      </c>
      <c r="J30" s="5">
        <f>'[1]ÜDM sahələr üzrə'!AD44</f>
        <v>8.3000000000000007</v>
      </c>
      <c r="K30" s="6">
        <f>'[1]ÜDM sahələr üzrə'!AE44</f>
        <v>-5.22</v>
      </c>
      <c r="L30" s="5">
        <f>'[1]ÜDM sahələr üzrə'!AF44</f>
        <v>-5.1459999999999999</v>
      </c>
      <c r="M30" s="5">
        <f>'[1]ÜDM sahələr üzrə'!AG44</f>
        <v>-3.7999999999999972</v>
      </c>
      <c r="N30" s="5">
        <f>'[1]ÜDM sahələr üzrə'!AH44</f>
        <v>-16.8</v>
      </c>
      <c r="O30" s="5">
        <f>'[1]ÜDM sahələr üzrə'!AI44</f>
        <v>-11.2</v>
      </c>
      <c r="P30" s="59">
        <f>'[1]ÜDM sahələr üzrə'!AJ44</f>
        <v>70.693652794637075</v>
      </c>
      <c r="Q30" s="5">
        <f>'[1]ÜDM sahələr üzrə'!AK44</f>
        <v>48.73794069078096</v>
      </c>
      <c r="R30" s="5">
        <f>'[1]ÜDM sahələr üzrə'!AL44</f>
        <v>-7.1554407392018931</v>
      </c>
      <c r="S30" s="5">
        <f>'[1]ÜDM sahələr üzrə'!AM44</f>
        <v>135.08413923917578</v>
      </c>
      <c r="T30" s="6">
        <f>'[1]ÜDM sahələr üzrə'!AN44</f>
        <v>41.497424374906444</v>
      </c>
      <c r="U30" s="6">
        <f>'[1]ÜDM sahələr üzrə'!AO44</f>
        <v>-11.316799695754469</v>
      </c>
    </row>
    <row r="31" spans="1:21" customFormat="1" ht="14" hidden="1">
      <c r="A31" s="67"/>
      <c r="B31" s="8" t="s">
        <v>56</v>
      </c>
      <c r="C31" s="154" t="s">
        <v>6</v>
      </c>
      <c r="D31" s="60">
        <v>-69.730673386926469</v>
      </c>
      <c r="E31" s="10">
        <v>-9</v>
      </c>
      <c r="F31" s="10">
        <v>41.3</v>
      </c>
      <c r="G31" s="10">
        <v>55.919563073855386</v>
      </c>
      <c r="H31" s="60">
        <v>-33.043592189838265</v>
      </c>
      <c r="I31" s="59">
        <f>'[1]ÜDM sahələr üzrə'!AC45</f>
        <v>43.252903916704554</v>
      </c>
      <c r="J31" s="10">
        <f>'[1]ÜDM sahələr üzrə'!AD45</f>
        <v>15.924578291584695</v>
      </c>
      <c r="K31" s="11">
        <f>'[1]ÜDM sahələr üzrə'!AE45</f>
        <v>45.420882067377505</v>
      </c>
      <c r="L31" s="10">
        <f>'[1]ÜDM sahələr üzrə'!AF45</f>
        <v>41.748748888205711</v>
      </c>
      <c r="M31" s="10">
        <f>'[1]ÜDM sahələr üzrə'!AG45</f>
        <v>-13.825947516606007</v>
      </c>
      <c r="N31" s="10">
        <f>'[1]ÜDM sahələr üzrə'!AH45</f>
        <v>17.527946191739318</v>
      </c>
      <c r="O31" s="10">
        <f>'[1]ÜDM sahələr üzrə'!AI45</f>
        <v>29.632151042730413</v>
      </c>
      <c r="P31" s="60">
        <f>'[1]ÜDM sahələr üzrə'!AJ45</f>
        <v>-2.3809523809523938</v>
      </c>
      <c r="Q31" s="10">
        <f>'[1]ÜDM sahələr üzrə'!AK45</f>
        <v>0</v>
      </c>
      <c r="R31" s="10">
        <f>'[1]ÜDM sahələr üzrə'!AL45</f>
        <v>0</v>
      </c>
      <c r="S31" s="10">
        <f>'[1]ÜDM sahələr üzrə'!AM45</f>
        <v>0</v>
      </c>
      <c r="T31" s="11">
        <f>'[1]ÜDM sahələr üzrə'!AN45</f>
        <v>0</v>
      </c>
      <c r="U31" s="11">
        <f>'[1]ÜDM sahələr üzrə'!AO45</f>
        <v>0</v>
      </c>
    </row>
    <row r="32" spans="1:21" customFormat="1" ht="28" hidden="1">
      <c r="A32" s="68" t="s">
        <v>77</v>
      </c>
      <c r="B32" s="25" t="s">
        <v>78</v>
      </c>
      <c r="C32" s="163"/>
      <c r="D32" s="40"/>
      <c r="E32" s="18"/>
      <c r="F32" s="18"/>
      <c r="G32" s="18"/>
      <c r="H32" s="40"/>
      <c r="I32" s="94"/>
      <c r="J32" s="18"/>
      <c r="K32" s="19"/>
      <c r="L32" s="18"/>
      <c r="M32" s="18"/>
      <c r="N32" s="18"/>
      <c r="O32" s="18"/>
      <c r="P32" s="40"/>
      <c r="Q32" s="18"/>
      <c r="R32" s="18"/>
      <c r="S32" s="18"/>
      <c r="T32" s="19"/>
      <c r="U32" s="19"/>
    </row>
    <row r="33" spans="1:21" customFormat="1" ht="14" hidden="1">
      <c r="A33" s="66" t="s">
        <v>67</v>
      </c>
      <c r="B33" s="4" t="s">
        <v>68</v>
      </c>
      <c r="C33" s="153" t="s">
        <v>12</v>
      </c>
      <c r="D33" s="59">
        <v>65.3</v>
      </c>
      <c r="E33" s="5">
        <v>49</v>
      </c>
      <c r="F33" s="5">
        <v>54.7</v>
      </c>
      <c r="G33" s="5">
        <v>37.700000000000003</v>
      </c>
      <c r="H33" s="59">
        <v>57.8</v>
      </c>
      <c r="I33" s="59">
        <f>'[1]ÜDM sahələr üzrə'!AC47</f>
        <v>60</v>
      </c>
      <c r="J33" s="5">
        <f>'[1]ÜDM sahələr üzrə'!AD47</f>
        <v>76.3</v>
      </c>
      <c r="K33" s="6">
        <f>'[1]ÜDM sahələr üzrə'!AE47</f>
        <v>81.5</v>
      </c>
      <c r="L33" s="5">
        <f>'[1]ÜDM sahələr üzrə'!AF47</f>
        <v>100</v>
      </c>
      <c r="M33" s="5">
        <f>'[1]ÜDM sahələr üzrə'!AG47</f>
        <v>180.3</v>
      </c>
      <c r="N33" s="5">
        <f>'[1]ÜDM sahələr üzrə'!AH47</f>
        <v>232.9</v>
      </c>
      <c r="O33" s="5">
        <f>'[1]ÜDM sahələr üzrə'!AI47</f>
        <v>256.7</v>
      </c>
      <c r="P33" s="59">
        <f>'[1]ÜDM sahələr üzrə'!AJ47</f>
        <v>295.37723697557965</v>
      </c>
      <c r="Q33" s="5">
        <f>'[1]ÜDM sahələr üzrə'!AK47</f>
        <v>336.33991723510684</v>
      </c>
      <c r="R33" s="5">
        <f>'[1]ÜDM sahələr üzrə'!AL47</f>
        <v>380.03925170142702</v>
      </c>
      <c r="S33" s="5">
        <f>'[1]ÜDM sahələr üzrə'!AM47</f>
        <v>430.16783241396678</v>
      </c>
      <c r="T33" s="6">
        <f>'[1]ÜDM sahələr üzrə'!AN47</f>
        <v>492.70790929292843</v>
      </c>
      <c r="U33" s="6">
        <f>'[1]ÜDM sahələr üzrə'!AO47</f>
        <v>569.89594985438634</v>
      </c>
    </row>
    <row r="34" spans="1:21" customFormat="1" ht="14" hidden="1">
      <c r="A34" s="66" t="s">
        <v>69</v>
      </c>
      <c r="B34" s="4" t="s">
        <v>70</v>
      </c>
      <c r="C34" s="153" t="s">
        <v>12</v>
      </c>
      <c r="D34" s="59">
        <v>42.9</v>
      </c>
      <c r="E34" s="5">
        <v>32</v>
      </c>
      <c r="F34" s="5">
        <v>35.660000000000004</v>
      </c>
      <c r="G34" s="5">
        <v>24.620000000000005</v>
      </c>
      <c r="H34" s="59">
        <v>37.644999999999996</v>
      </c>
      <c r="I34" s="59">
        <f>'[1]ÜDM sahələr üzrə'!AC48</f>
        <v>39.019999999999996</v>
      </c>
      <c r="J34" s="5">
        <f>'[1]ÜDM sahələr üzrə'!AD48</f>
        <v>48.89</v>
      </c>
      <c r="K34" s="6">
        <f>'[1]ÜDM sahələr üzrə'!AE48</f>
        <v>49.18</v>
      </c>
      <c r="L34" s="5">
        <f>'[1]ÜDM sahələr üzrə'!AF48</f>
        <v>55.71</v>
      </c>
      <c r="M34" s="5">
        <f>'[1]ÜDM sahələr üzrə'!AG48</f>
        <v>98.160000000000011</v>
      </c>
      <c r="N34" s="5">
        <f>'[1]ÜDM sahələr üzrə'!AH48</f>
        <v>130.65</v>
      </c>
      <c r="O34" s="5">
        <f>'[1]ÜDM sahələr üzrə'!AI48</f>
        <v>144</v>
      </c>
      <c r="P34" s="59">
        <f>'[1]ÜDM sahələr üzrə'!AJ48</f>
        <v>165.69661910589588</v>
      </c>
      <c r="Q34" s="5">
        <f>'[1]ÜDM sahələr üzrə'!AK48</f>
        <v>188.67529443652273</v>
      </c>
      <c r="R34" s="5">
        <f>'[1]ÜDM sahələr üzrə'!AL48</f>
        <v>213.18914002729059</v>
      </c>
      <c r="S34" s="5">
        <f>'[1]ÜDM sahələr üzrə'!AM48</f>
        <v>241.30957486408732</v>
      </c>
      <c r="T34" s="6">
        <f>'[1]ÜDM sahələr üzrə'!AN48</f>
        <v>276.39243840351264</v>
      </c>
      <c r="U34" s="6">
        <f>'[1]ÜDM sahələr üzrə'!AO48</f>
        <v>319.69231312439285</v>
      </c>
    </row>
    <row r="35" spans="1:21" customFormat="1" ht="14" hidden="1">
      <c r="A35" s="66" t="s">
        <v>71</v>
      </c>
      <c r="B35" s="4" t="s">
        <v>72</v>
      </c>
      <c r="C35" s="153" t="s">
        <v>12</v>
      </c>
      <c r="D35" s="59">
        <v>22.4</v>
      </c>
      <c r="E35" s="5">
        <v>17</v>
      </c>
      <c r="F35" s="5">
        <v>19.04</v>
      </c>
      <c r="G35" s="5">
        <v>13.08</v>
      </c>
      <c r="H35" s="59">
        <v>20.155000000000001</v>
      </c>
      <c r="I35" s="59">
        <f>'[1]ÜDM sahələr üzrə'!AC49</f>
        <v>20.98</v>
      </c>
      <c r="J35" s="5">
        <f>'[1]ÜDM sahələr üzrə'!AD49</f>
        <v>27.41</v>
      </c>
      <c r="K35" s="6">
        <f>'[1]ÜDM sahələr üzrə'!AE49</f>
        <v>32.32</v>
      </c>
      <c r="L35" s="5">
        <f>'[1]ÜDM sahələr üzrə'!AF49</f>
        <v>44.29</v>
      </c>
      <c r="M35" s="5">
        <f>'[1]ÜDM sahələr üzrə'!AG49</f>
        <v>82.14</v>
      </c>
      <c r="N35" s="5">
        <f>'[1]ÜDM sahələr üzrə'!AH49</f>
        <v>102.25</v>
      </c>
      <c r="O35" s="5">
        <f>'[1]ÜDM sahələr üzrə'!AI49</f>
        <v>112.7</v>
      </c>
      <c r="P35" s="59">
        <f>'[1]ÜDM sahələr üzrə'!AJ49</f>
        <v>129.68061786968377</v>
      </c>
      <c r="Q35" s="5">
        <f>'[1]ÜDM sahələr üzrə'!AK49</f>
        <v>147.66462279858411</v>
      </c>
      <c r="R35" s="5">
        <f>'[1]ÜDM sahələr üzrə'!AL49</f>
        <v>166.85011167413643</v>
      </c>
      <c r="S35" s="5">
        <f>'[1]ÜDM sahələr üzrə'!AM49</f>
        <v>188.85825754987945</v>
      </c>
      <c r="T35" s="6">
        <f>'[1]ÜDM sahələr üzrə'!AN49</f>
        <v>216.31547088941576</v>
      </c>
      <c r="U35" s="6">
        <f>'[1]ÜDM sahələr üzrə'!AO49</f>
        <v>250.20363672999352</v>
      </c>
    </row>
    <row r="36" spans="1:21" customFormat="1" ht="14" hidden="1">
      <c r="A36" s="66"/>
      <c r="B36" s="4" t="s">
        <v>73</v>
      </c>
      <c r="C36" s="153" t="s">
        <v>6</v>
      </c>
      <c r="D36" s="59">
        <v>34.30321592649311</v>
      </c>
      <c r="E36" s="5">
        <v>34.693877551020407</v>
      </c>
      <c r="F36" s="5">
        <v>34.808043875685549</v>
      </c>
      <c r="G36" s="5">
        <v>34.694960212201586</v>
      </c>
      <c r="H36" s="59">
        <v>34.87024221453288</v>
      </c>
      <c r="I36" s="59">
        <f>'[1]ÜDM sahələr üzrə'!AC50</f>
        <v>34.966666666666669</v>
      </c>
      <c r="J36" s="5">
        <f>'[1]ÜDM sahələr üzrə'!AD50</f>
        <v>35.923984272608131</v>
      </c>
      <c r="K36" s="6">
        <f>'[1]ÜDM sahələr üzrə'!AE50</f>
        <v>39.656441717791409</v>
      </c>
      <c r="L36" s="5">
        <f>'[1]ÜDM sahələr üzrə'!AF50</f>
        <v>44.29</v>
      </c>
      <c r="M36" s="5">
        <f>'[1]ÜDM sahələr üzrə'!AG50</f>
        <v>45.557404326123127</v>
      </c>
      <c r="N36" s="5">
        <f>'[1]ÜDM sahələr üzrə'!AH50</f>
        <v>43.90296264491198</v>
      </c>
      <c r="O36" s="5">
        <f>'[1]ÜDM sahələr üzrə'!AI50</f>
        <v>43.903389170237631</v>
      </c>
      <c r="P36" s="59">
        <f>'[1]ÜDM sahələr üzrə'!AJ50</f>
        <v>43.903389170237631</v>
      </c>
      <c r="Q36" s="5">
        <f>'[1]ÜDM sahələr üzrə'!AK50</f>
        <v>43.903389170237631</v>
      </c>
      <c r="R36" s="5">
        <f>'[1]ÜDM sahələr üzrə'!AL50</f>
        <v>43.903389170237631</v>
      </c>
      <c r="S36" s="5">
        <f>'[1]ÜDM sahələr üzrə'!AM50</f>
        <v>43.903389170237631</v>
      </c>
      <c r="T36" s="6">
        <f>'[1]ÜDM sahələr üzrə'!AN50</f>
        <v>43.903389170237631</v>
      </c>
      <c r="U36" s="6">
        <f>'[1]ÜDM sahələr üzrə'!AO50</f>
        <v>43.903389170237631</v>
      </c>
    </row>
    <row r="37" spans="1:21" customFormat="1" ht="14" hidden="1">
      <c r="A37" s="66"/>
      <c r="B37" s="3" t="s">
        <v>16</v>
      </c>
      <c r="C37" s="153" t="s">
        <v>6</v>
      </c>
      <c r="D37" s="59">
        <v>-27.5</v>
      </c>
      <c r="E37" s="5">
        <v>-0.5</v>
      </c>
      <c r="F37" s="5">
        <v>0.90000000000000568</v>
      </c>
      <c r="G37" s="5">
        <v>-8.3000000000000007</v>
      </c>
      <c r="H37" s="59">
        <v>109.5</v>
      </c>
      <c r="I37" s="59">
        <f>'[1]ÜDM sahələr üzrə'!AC51</f>
        <v>66.599999999999994</v>
      </c>
      <c r="J37" s="5">
        <f>'[1]ÜDM sahələr üzrə'!AD51</f>
        <v>6.25</v>
      </c>
      <c r="K37" s="6">
        <f>'[1]ÜDM sahələr üzrə'!AE51</f>
        <v>-10.35</v>
      </c>
      <c r="L37" s="5">
        <f>'[1]ÜDM sahələr üzrə'!AF51</f>
        <v>28.95</v>
      </c>
      <c r="M37" s="5">
        <f>'[1]ÜDM sahələr üzrə'!AG51</f>
        <v>12.55</v>
      </c>
      <c r="N37" s="5">
        <f>'[1]ÜDM sahələr üzrə'!AH51</f>
        <v>-4.55</v>
      </c>
      <c r="O37" s="5">
        <f>'[1]ÜDM sahələr üzrə'!AI51</f>
        <v>35.700000000000003</v>
      </c>
      <c r="P37" s="59">
        <f>'[1]ÜDM sahələr üzrə'!AJ51</f>
        <v>13.096645354983337</v>
      </c>
      <c r="Q37" s="5">
        <f>'[1]ÜDM sahələr üzrə'!AK51</f>
        <v>10.85491496738382</v>
      </c>
      <c r="R37" s="5">
        <f>'[1]ÜDM sahələr üzrə'!AL51</f>
        <v>7.54511922264291</v>
      </c>
      <c r="S37" s="5">
        <f>'[1]ÜDM sahələr üzrə'!AM51</f>
        <v>6.0807379338339302</v>
      </c>
      <c r="T37" s="6">
        <f>'[1]ÜDM sahələr üzrə'!AN51</f>
        <v>6.9791630311168689</v>
      </c>
      <c r="U37" s="6">
        <f>'[1]ÜDM sahələr üzrə'!AO51</f>
        <v>7.8938795814476208</v>
      </c>
    </row>
    <row r="38" spans="1:21" customFormat="1" ht="14" hidden="1">
      <c r="A38" s="67"/>
      <c r="B38" s="8" t="s">
        <v>56</v>
      </c>
      <c r="C38" s="154" t="s">
        <v>6</v>
      </c>
      <c r="D38" s="60">
        <v>47.126436781609186</v>
      </c>
      <c r="E38" s="10">
        <v>-23.9</v>
      </c>
      <c r="F38" s="10">
        <v>11.3</v>
      </c>
      <c r="G38" s="10">
        <v>-25.084537631846644</v>
      </c>
      <c r="H38" s="60">
        <v>-26.448585170750206</v>
      </c>
      <c r="I38" s="59">
        <f>'[1]ÜDM sahələr üzrə'!AC52</f>
        <v>-37.519041355068438</v>
      </c>
      <c r="J38" s="10">
        <f>'[1]ÜDM sahələr üzrə'!AD52</f>
        <v>22.963046038243704</v>
      </c>
      <c r="K38" s="11">
        <f>'[1]ÜDM sahələr üzrə'!AE52</f>
        <v>31.526124233993613</v>
      </c>
      <c r="L38" s="10">
        <f>'[1]ÜDM sahələr üzrə'!AF52</f>
        <v>6.2705630780216524</v>
      </c>
      <c r="M38" s="10">
        <f>'[1]ÜDM sahələr üzrə'!AG52</f>
        <v>64.779628311001801</v>
      </c>
      <c r="N38" s="10">
        <f>'[1]ÜDM sahələr üzrə'!AH52</f>
        <v>30.416543424627463</v>
      </c>
      <c r="O38" s="10">
        <f>'[1]ÜDM sahələr üzrə'!AI52</f>
        <v>-18.776677303054171</v>
      </c>
      <c r="P38" s="60">
        <f>'[1]ÜDM sahələr üzrə'!AJ52</f>
        <v>1.7422720542668912</v>
      </c>
      <c r="Q38" s="10">
        <f>'[1]ÜDM sahələr üzrə'!AK52</f>
        <v>2.7179719422708075</v>
      </c>
      <c r="R38" s="10">
        <f>'[1]ÜDM sahələr üzrə'!AL52</f>
        <v>5.0653075085368613</v>
      </c>
      <c r="S38" s="10">
        <f>'[1]ÜDM sahələr üzrə'!AM52</f>
        <v>6.7020945420822784</v>
      </c>
      <c r="T38" s="11">
        <f>'[1]ÜDM sahələr üzrə'!AN52</f>
        <v>7.0662044612957402</v>
      </c>
      <c r="U38" s="11">
        <f>'[1]ÜDM sahələr üzrə'!AO52</f>
        <v>7.2035648256658931</v>
      </c>
    </row>
    <row r="39" spans="1:21" customFormat="1" ht="28" hidden="1">
      <c r="A39" s="68" t="s">
        <v>79</v>
      </c>
      <c r="B39" s="25" t="s">
        <v>80</v>
      </c>
      <c r="C39" s="163"/>
      <c r="D39" s="40"/>
      <c r="E39" s="18"/>
      <c r="F39" s="18"/>
      <c r="G39" s="18"/>
      <c r="H39" s="40"/>
      <c r="I39" s="94"/>
      <c r="J39" s="18"/>
      <c r="K39" s="19"/>
      <c r="L39" s="18"/>
      <c r="M39" s="18"/>
      <c r="N39" s="18"/>
      <c r="O39" s="18"/>
      <c r="P39" s="40"/>
      <c r="Q39" s="18"/>
      <c r="R39" s="18"/>
      <c r="S39" s="18"/>
      <c r="T39" s="19"/>
      <c r="U39" s="19"/>
    </row>
    <row r="40" spans="1:21" customFormat="1" ht="14" hidden="1">
      <c r="A40" s="66" t="s">
        <v>67</v>
      </c>
      <c r="B40" s="4" t="s">
        <v>68</v>
      </c>
      <c r="C40" s="153" t="s">
        <v>12</v>
      </c>
      <c r="D40" s="59">
        <v>881</v>
      </c>
      <c r="E40" s="5">
        <v>900.2</v>
      </c>
      <c r="F40" s="5">
        <v>1497.8</v>
      </c>
      <c r="G40" s="5">
        <v>2173.8000000000002</v>
      </c>
      <c r="H40" s="59">
        <v>3330.7</v>
      </c>
      <c r="I40" s="59">
        <f>'[1]ÜDM sahələr üzrə'!AC54</f>
        <v>3209.4</v>
      </c>
      <c r="J40" s="5">
        <f>'[1]ÜDM sahələr üzrə'!AD54</f>
        <v>3213.3</v>
      </c>
      <c r="K40" s="6">
        <f>'[1]ÜDM sahələr üzrə'!AE54</f>
        <v>3022.5</v>
      </c>
      <c r="L40" s="5">
        <f>'[1]ÜDM sahələr üzrə'!AF54</f>
        <v>2024.8</v>
      </c>
      <c r="M40" s="5">
        <f>'[1]ÜDM sahələr üzrə'!AG54</f>
        <v>1907.3</v>
      </c>
      <c r="N40" s="5">
        <f>'[1]ÜDM sahələr üzrə'!AH54</f>
        <v>2414.1</v>
      </c>
      <c r="O40" s="5">
        <f>'[1]ÜDM sahələr üzrə'!AI54</f>
        <v>2530.8000000000002</v>
      </c>
      <c r="P40" s="59">
        <f>'[1]ÜDM sahələr üzrə'!AJ54</f>
        <v>2866.2476857521006</v>
      </c>
      <c r="Q40" s="5">
        <f>'[1]ÜDM sahələr üzrə'!AK54</f>
        <v>3074.1694601732197</v>
      </c>
      <c r="R40" s="5">
        <f>'[1]ÜDM sahələr üzrə'!AL54</f>
        <v>3304.9064506898985</v>
      </c>
      <c r="S40" s="5">
        <f>'[1]ÜDM sahələr üzrə'!AM54</f>
        <v>3582.7082149514795</v>
      </c>
      <c r="T40" s="6">
        <f>'[1]ÜDM sahələr üzrə'!AN54</f>
        <v>3875.0159570303895</v>
      </c>
      <c r="U40" s="6">
        <f>'[1]ÜDM sahələr üzrə'!AO54</f>
        <v>3837.3895620729977</v>
      </c>
    </row>
    <row r="41" spans="1:21" customFormat="1" ht="14" hidden="1">
      <c r="A41" s="66" t="s">
        <v>69</v>
      </c>
      <c r="B41" s="4" t="s">
        <v>70</v>
      </c>
      <c r="C41" s="153" t="s">
        <v>12</v>
      </c>
      <c r="D41" s="59">
        <v>549.9</v>
      </c>
      <c r="E41" s="5">
        <v>559.90000000000009</v>
      </c>
      <c r="F41" s="5">
        <v>933.8</v>
      </c>
      <c r="G41" s="5">
        <v>1356.5000000000002</v>
      </c>
      <c r="H41" s="59">
        <v>2074</v>
      </c>
      <c r="I41" s="59">
        <f>'[1]ÜDM sahələr üzrə'!AC55</f>
        <v>1987.75</v>
      </c>
      <c r="J41" s="5">
        <f>'[1]ÜDM sahələr üzrə'!AD55</f>
        <v>2006.8200000000002</v>
      </c>
      <c r="K41" s="6">
        <f>'[1]ÜDM sahələr üzrə'!AE55</f>
        <v>1604.9</v>
      </c>
      <c r="L41" s="5">
        <f>'[1]ÜDM sahələr üzrə'!AF55</f>
        <v>810.39999999999986</v>
      </c>
      <c r="M41" s="5">
        <f>'[1]ÜDM sahələr üzrə'!AG55</f>
        <v>731.44</v>
      </c>
      <c r="N41" s="5">
        <f>'[1]ÜDM sahələr üzrə'!AH55</f>
        <v>864.19999999999982</v>
      </c>
      <c r="O41" s="5">
        <f>'[1]ÜDM sahələr üzrə'!AI55</f>
        <v>906.00000000000023</v>
      </c>
      <c r="P41" s="59">
        <f>'[1]ÜDM sahələr üzrə'!AJ55</f>
        <v>1026.0867722820469</v>
      </c>
      <c r="Q41" s="5">
        <f>'[1]ÜDM sahələr üzrə'!AK55</f>
        <v>1100.5205985921202</v>
      </c>
      <c r="R41" s="5">
        <f>'[1]ÜDM sahələr üzrə'!AL55</f>
        <v>1183.1220342678398</v>
      </c>
      <c r="S41" s="5">
        <f>'[1]ÜDM sahələr üzrə'!AM55</f>
        <v>1282.5721679887947</v>
      </c>
      <c r="T41" s="6">
        <f>'[1]ÜDM sahələr üzrə'!AN55</f>
        <v>1387.215290449476</v>
      </c>
      <c r="U41" s="6">
        <f>'[1]ÜDM sahələr üzrə'!AO55</f>
        <v>1373.7454335538714</v>
      </c>
    </row>
    <row r="42" spans="1:21" customFormat="1" ht="14" hidden="1">
      <c r="A42" s="66" t="s">
        <v>71</v>
      </c>
      <c r="B42" s="4" t="s">
        <v>72</v>
      </c>
      <c r="C42" s="153" t="s">
        <v>12</v>
      </c>
      <c r="D42" s="59">
        <v>331.1</v>
      </c>
      <c r="E42" s="5">
        <v>340.3</v>
      </c>
      <c r="F42" s="5">
        <v>564</v>
      </c>
      <c r="G42" s="5">
        <v>817.3</v>
      </c>
      <c r="H42" s="59">
        <v>1256.7</v>
      </c>
      <c r="I42" s="59">
        <f>'[1]ÜDM sahələr üzrə'!AC56</f>
        <v>1221.6500000000001</v>
      </c>
      <c r="J42" s="5">
        <f>'[1]ÜDM sahələr üzrə'!AD56</f>
        <v>1206.48</v>
      </c>
      <c r="K42" s="6">
        <f>'[1]ÜDM sahələr üzrə'!AE56</f>
        <v>1417.6</v>
      </c>
      <c r="L42" s="5">
        <f>'[1]ÜDM sahələr üzrə'!AF56</f>
        <v>1214.4000000000001</v>
      </c>
      <c r="M42" s="5">
        <f>'[1]ÜDM sahələr üzrə'!AG56</f>
        <v>1175.8599999999999</v>
      </c>
      <c r="N42" s="5">
        <f>'[1]ÜDM sahələr üzrə'!AH56</f>
        <v>1549.9</v>
      </c>
      <c r="O42" s="5">
        <f>'[1]ÜDM sahələr üzrə'!AI56</f>
        <v>1624.8</v>
      </c>
      <c r="P42" s="59">
        <f>'[1]ÜDM sahələr üzrə'!AJ56</f>
        <v>1840.1609134700536</v>
      </c>
      <c r="Q42" s="5">
        <f>'[1]ÜDM sahələr üzrə'!AK56</f>
        <v>1973.6488615810995</v>
      </c>
      <c r="R42" s="5">
        <f>'[1]ÜDM sahələr üzrə'!AL56</f>
        <v>2121.7844164220587</v>
      </c>
      <c r="S42" s="5">
        <f>'[1]ÜDM sahələr üzrə'!AM56</f>
        <v>2300.1360469626848</v>
      </c>
      <c r="T42" s="6">
        <f>'[1]ÜDM sahələr üzrə'!AN56</f>
        <v>2487.8006665809135</v>
      </c>
      <c r="U42" s="6">
        <f>'[1]ÜDM sahələr üzrə'!AO56</f>
        <v>2463.6441285191263</v>
      </c>
    </row>
    <row r="43" spans="1:21" customFormat="1" ht="14" hidden="1">
      <c r="A43" s="66"/>
      <c r="B43" s="4" t="s">
        <v>73</v>
      </c>
      <c r="C43" s="153" t="s">
        <v>6</v>
      </c>
      <c r="D43" s="59">
        <v>37.582292849035191</v>
      </c>
      <c r="E43" s="5">
        <v>37.802710508775824</v>
      </c>
      <c r="F43" s="5">
        <v>37.655227667245292</v>
      </c>
      <c r="G43" s="5">
        <v>37.597755083264325</v>
      </c>
      <c r="H43" s="59">
        <v>37.730807337796861</v>
      </c>
      <c r="I43" s="59">
        <f>'[1]ÜDM sahələr üzrə'!AC57</f>
        <v>38.064747304792171</v>
      </c>
      <c r="J43" s="5">
        <f>'[1]ÜDM sahələr üzrə'!AD57</f>
        <v>37.546447577257027</v>
      </c>
      <c r="K43" s="6">
        <f>'[1]ÜDM sahələr üzrə'!AE57</f>
        <v>46.901571546732832</v>
      </c>
      <c r="L43" s="5">
        <f>'[1]ÜDM sahələr üzrə'!AF57</f>
        <v>59.976293954958514</v>
      </c>
      <c r="M43" s="5">
        <f>'[1]ÜDM sahələr üzrə'!AG57</f>
        <v>61.650500707806842</v>
      </c>
      <c r="N43" s="5">
        <f>'[1]ÜDM sahələr üzrə'!AH57</f>
        <v>64.201980033967118</v>
      </c>
      <c r="O43" s="5">
        <f>'[1]ÜDM sahələr üzrə'!AI57</f>
        <v>64.201043148411557</v>
      </c>
      <c r="P43" s="59">
        <f>'[1]ÜDM sahələr üzrə'!AJ57</f>
        <v>64.201043148411557</v>
      </c>
      <c r="Q43" s="5">
        <f>'[1]ÜDM sahələr üzrə'!AK57</f>
        <v>64.201043148411557</v>
      </c>
      <c r="R43" s="5">
        <f>'[1]ÜDM sahələr üzrə'!AL57</f>
        <v>64.201043148411557</v>
      </c>
      <c r="S43" s="5">
        <f>'[1]ÜDM sahələr üzrə'!AM57</f>
        <v>64.201043148411557</v>
      </c>
      <c r="T43" s="6">
        <f>'[1]ÜDM sahələr üzrə'!AN57</f>
        <v>64.201043148411557</v>
      </c>
      <c r="U43" s="6">
        <f>'[1]ÜDM sahələr üzrə'!AO57</f>
        <v>64.201043148411557</v>
      </c>
    </row>
    <row r="44" spans="1:21" customFormat="1" ht="14" hidden="1">
      <c r="A44" s="66"/>
      <c r="B44" s="3" t="s">
        <v>16</v>
      </c>
      <c r="C44" s="153" t="s">
        <v>6</v>
      </c>
      <c r="D44" s="59">
        <v>15.9</v>
      </c>
      <c r="E44" s="5">
        <v>2.7000000000000028</v>
      </c>
      <c r="F44" s="5">
        <v>83</v>
      </c>
      <c r="G44" s="5">
        <v>24.8</v>
      </c>
      <c r="H44" s="59">
        <v>15.75</v>
      </c>
      <c r="I44" s="59">
        <f>'[1]ÜDM sahələr üzrə'!AC58</f>
        <v>-11.2</v>
      </c>
      <c r="J44" s="5">
        <f>'[1]ÜDM sahələr üzrə'!AD58</f>
        <v>8.9</v>
      </c>
      <c r="K44" s="6">
        <f>'[1]ÜDM sahələr üzrə'!AE58</f>
        <v>-19.7</v>
      </c>
      <c r="L44" s="5">
        <f>'[1]ÜDM sahələr üzrə'!AF58</f>
        <v>-52.1</v>
      </c>
      <c r="M44" s="5">
        <f>'[1]ÜDM sahələr üzrə'!AG58</f>
        <v>-18</v>
      </c>
      <c r="N44" s="5">
        <f>'[1]ÜDM sahələr üzrə'!AH58</f>
        <v>0.1</v>
      </c>
      <c r="O44" s="5">
        <f>'[1]ÜDM sahələr üzrə'!AI58</f>
        <v>-7.2</v>
      </c>
      <c r="P44" s="59">
        <f>'[1]ÜDM sahələr üzrə'!AJ58</f>
        <v>5.0002102574046576</v>
      </c>
      <c r="Q44" s="5">
        <f>'[1]ÜDM sahələr üzrə'!AK58</f>
        <v>4.085747164265328</v>
      </c>
      <c r="R44" s="5">
        <f>'[1]ÜDM sahələr üzrə'!AL58</f>
        <v>3.3992207819473306</v>
      </c>
      <c r="S44" s="5">
        <f>'[1]ÜDM sahələr üzrə'!AM58</f>
        <v>3.2188191010677336</v>
      </c>
      <c r="T44" s="6">
        <f>'[1]ÜDM sahələr üzrə'!AN58</f>
        <v>2.8703062267689514</v>
      </c>
      <c r="U44" s="6">
        <f>'[1]ÜDM sahələr üzrə'!AO58</f>
        <v>-6.5407117730243352</v>
      </c>
    </row>
    <row r="45" spans="1:21" customFormat="1" ht="14" hidden="1">
      <c r="A45" s="67"/>
      <c r="B45" s="8" t="s">
        <v>56</v>
      </c>
      <c r="C45" s="154" t="s">
        <v>6</v>
      </c>
      <c r="D45" s="60">
        <v>-10.614108878548564</v>
      </c>
      <c r="E45" s="10">
        <v>7.6549885204585166E-2</v>
      </c>
      <c r="F45" s="10">
        <v>-9.4</v>
      </c>
      <c r="G45" s="10">
        <v>16.114861793053279</v>
      </c>
      <c r="H45" s="60">
        <v>32.840076329926887</v>
      </c>
      <c r="I45" s="59">
        <f>'[1]ÜDM sahələr üzrə'!AC59</f>
        <v>9.4717897654159344</v>
      </c>
      <c r="J45" s="10">
        <f>'[1]ÜDM sahələr üzrə'!AD59</f>
        <v>-9.3129138559499154</v>
      </c>
      <c r="K45" s="11">
        <f>'[1]ÜDM sahələr üzrə'!AE59</f>
        <v>46.324831381688739</v>
      </c>
      <c r="L45" s="10">
        <f>'[1]ÜDM sahələr üzrə'!AF59</f>
        <v>78.843244720707673</v>
      </c>
      <c r="M45" s="10">
        <f>'[1]ÜDM sahələr üzrə'!AG59</f>
        <v>18.08099553327547</v>
      </c>
      <c r="N45" s="10">
        <f>'[1]ÜDM sahələr üzrə'!AH59</f>
        <v>31.678231111837192</v>
      </c>
      <c r="O45" s="10">
        <f>'[1]ÜDM sahələr üzrə'!AI59</f>
        <v>12.966131296568634</v>
      </c>
      <c r="P45" s="60">
        <f>'[1]ÜDM sahələr üzrə'!AJ59</f>
        <v>7.8613179435711231</v>
      </c>
      <c r="Q45" s="10">
        <f>'[1]ÜDM sahələr üzrə'!AK59</f>
        <v>3.0440269817135719</v>
      </c>
      <c r="R45" s="10">
        <f>'[1]ÜDM sahələr üzrə'!AL59</f>
        <v>3.9714500681288429</v>
      </c>
      <c r="S45" s="10">
        <f>'[1]ÜDM sahələr üzrə'!AM59</f>
        <v>5.0251674518872065</v>
      </c>
      <c r="T45" s="11">
        <f>'[1]ÜDM sahələr üzrə'!AN59</f>
        <v>5.1409805726250584</v>
      </c>
      <c r="U45" s="11">
        <f>'[1]ÜDM sahələr üzrə'!AO59</f>
        <v>5.9595061511528549</v>
      </c>
    </row>
    <row r="46" spans="1:21" customFormat="1" ht="14">
      <c r="A46" s="117" t="s">
        <v>17</v>
      </c>
      <c r="B46" s="125" t="s">
        <v>81</v>
      </c>
      <c r="C46" s="152"/>
      <c r="D46" s="120"/>
      <c r="E46" s="123"/>
      <c r="F46" s="123"/>
      <c r="G46" s="123"/>
      <c r="H46" s="120"/>
      <c r="I46" s="204"/>
      <c r="J46" s="205"/>
      <c r="K46" s="206"/>
      <c r="L46" s="205"/>
      <c r="M46" s="205"/>
      <c r="N46" s="205"/>
      <c r="O46" s="205"/>
      <c r="P46" s="204"/>
      <c r="Q46" s="205"/>
      <c r="R46" s="205"/>
      <c r="S46" s="205"/>
      <c r="T46" s="206"/>
      <c r="U46" s="206"/>
    </row>
    <row r="47" spans="1:21" customFormat="1" ht="14">
      <c r="A47" s="66" t="s">
        <v>67</v>
      </c>
      <c r="B47" s="4" t="s">
        <v>68</v>
      </c>
      <c r="C47" s="153" t="s">
        <v>12</v>
      </c>
      <c r="D47" s="59">
        <v>7243.7617999999993</v>
      </c>
      <c r="E47" s="5">
        <v>8071.453599999998</v>
      </c>
      <c r="F47" s="5">
        <v>7909.88</v>
      </c>
      <c r="G47" s="5">
        <v>8887.7107628091962</v>
      </c>
      <c r="H47" s="59">
        <v>9716.7499999999982</v>
      </c>
      <c r="I47" s="59">
        <f>'[1]ÜDM sahələr üzrə'!AC61</f>
        <v>10485.400000000001</v>
      </c>
      <c r="J47" s="5">
        <f>'[1]ÜDM sahələr üzrə'!AD61</f>
        <v>11808</v>
      </c>
      <c r="K47" s="6">
        <f>'[1]ÜDM sahələr üzrə'!AE61</f>
        <v>11820.9</v>
      </c>
      <c r="L47" s="5">
        <f>'[1]ÜDM sahələr üzrə'!AF61</f>
        <v>15874.65</v>
      </c>
      <c r="M47" s="5">
        <f>'[1]ÜDM sahələr üzrə'!AG61</f>
        <v>18104.480000000003</v>
      </c>
      <c r="N47" s="5">
        <f>'[1]ÜDM sahələr üzrə'!AH61</f>
        <v>18435.80000000001</v>
      </c>
      <c r="O47" s="5">
        <f>'[1]ÜDM sahələr üzrə'!AI61</f>
        <v>19114.600000000002</v>
      </c>
      <c r="P47" s="59">
        <f>'[1]ÜDM sahələr üzrə'!AJ61</f>
        <v>21710.352163763662</v>
      </c>
      <c r="Q47" s="5">
        <f>'[1]ÜDM sahələr üzrə'!AK61</f>
        <v>23287.449438994605</v>
      </c>
      <c r="R47" s="5">
        <f>'[1]ÜDM sahələr üzrə'!AL61</f>
        <v>26227.289928274105</v>
      </c>
      <c r="S47" s="5">
        <f>'[1]ÜDM sahələr üzrə'!AM61</f>
        <v>28017.605769283375</v>
      </c>
      <c r="T47" s="6">
        <f>'[1]ÜDM sahələr üzrə'!AN61</f>
        <v>30890.104588982962</v>
      </c>
      <c r="U47" s="6">
        <f>'[1]ÜDM sahələr üzrə'!AO61</f>
        <v>32994.445954502888</v>
      </c>
    </row>
    <row r="48" spans="1:21" customFormat="1" ht="14">
      <c r="A48" s="66" t="s">
        <v>69</v>
      </c>
      <c r="B48" s="4" t="s">
        <v>70</v>
      </c>
      <c r="C48" s="153" t="s">
        <v>12</v>
      </c>
      <c r="D48" s="59">
        <v>4790.9110000000001</v>
      </c>
      <c r="E48" s="5">
        <v>5293.7325999999985</v>
      </c>
      <c r="F48" s="5">
        <v>5195.6908715205827</v>
      </c>
      <c r="G48" s="5">
        <v>5876.0786261729163</v>
      </c>
      <c r="H48" s="59">
        <v>6411.3186699999987</v>
      </c>
      <c r="I48" s="59">
        <f>'[1]ÜDM sahələr üzrə'!AC62</f>
        <v>6785.3000000000011</v>
      </c>
      <c r="J48" s="5">
        <f>'[1]ÜDM sahələr üzrə'!AD62</f>
        <v>7710.2</v>
      </c>
      <c r="K48" s="6">
        <f>'[1]ÜDM sahələr üzrə'!AE62</f>
        <v>7392.5</v>
      </c>
      <c r="L48" s="5">
        <f>'[1]ÜDM sahələr üzrə'!AF62</f>
        <v>9891.869999999999</v>
      </c>
      <c r="M48" s="5">
        <f>'[1]ÜDM sahələr üzrə'!AG62</f>
        <v>11026.195000000003</v>
      </c>
      <c r="N48" s="5">
        <f>'[1]ÜDM sahələr üzrə'!AH62</f>
        <v>12114.757000000009</v>
      </c>
      <c r="O48" s="5">
        <f>'[1]ÜDM sahələr üzrə'!AI62</f>
        <v>12496.590100000001</v>
      </c>
      <c r="P48" s="59">
        <f>'[1]ÜDM sahələr üzrə'!AJ62</f>
        <v>13892.887918580811</v>
      </c>
      <c r="Q48" s="5">
        <f>'[1]ÜDM sahələr üzrə'!AK62</f>
        <v>14788.65300842165</v>
      </c>
      <c r="R48" s="5">
        <f>'[1]ÜDM sahələr üzrə'!AL62</f>
        <v>16745.885844564487</v>
      </c>
      <c r="S48" s="5">
        <f>'[1]ÜDM sahələr üzrə'!AM62</f>
        <v>17964.174469090729</v>
      </c>
      <c r="T48" s="6">
        <f>'[1]ÜDM sahələr üzrə'!AN62</f>
        <v>19858.878452053454</v>
      </c>
      <c r="U48" s="6">
        <f>'[1]ÜDM sahələr üzrə'!AO62</f>
        <v>21249.718206177175</v>
      </c>
    </row>
    <row r="49" spans="1:21" customFormat="1" ht="14">
      <c r="A49" s="66" t="s">
        <v>71</v>
      </c>
      <c r="B49" s="4" t="s">
        <v>72</v>
      </c>
      <c r="C49" s="153" t="s">
        <v>12</v>
      </c>
      <c r="D49" s="59">
        <v>2452.8507999999997</v>
      </c>
      <c r="E49" s="5">
        <v>2777.8209999999995</v>
      </c>
      <c r="F49" s="5">
        <v>2714.0891284794175</v>
      </c>
      <c r="G49" s="5">
        <v>3011.6321366362799</v>
      </c>
      <c r="H49" s="59">
        <v>3305.4313299999994</v>
      </c>
      <c r="I49" s="59">
        <f>'[1]ÜDM sahələr üzrə'!AC63</f>
        <v>3700.1</v>
      </c>
      <c r="J49" s="5">
        <f>'[1]ÜDM sahələr üzrə'!AD63</f>
        <v>4097.8</v>
      </c>
      <c r="K49" s="6">
        <f>'[1]ÜDM sahələr üzrə'!AE63</f>
        <v>4428.3999999999996</v>
      </c>
      <c r="L49" s="5">
        <f>'[1]ÜDM sahələr üzrə'!AF63</f>
        <v>5982.78</v>
      </c>
      <c r="M49" s="5">
        <f>'[1]ÜDM sahələr üzrə'!AG63</f>
        <v>7078.2849999999999</v>
      </c>
      <c r="N49" s="5">
        <f>'[1]ÜDM sahələr üzrə'!AH63</f>
        <v>6321.0430000000015</v>
      </c>
      <c r="O49" s="5">
        <f>'[1]ÜDM sahələr üzrə'!AI63</f>
        <v>6618.0099</v>
      </c>
      <c r="P49" s="59">
        <f>'[1]ÜDM sahələr üzrə'!AJ63</f>
        <v>7817.4642451828513</v>
      </c>
      <c r="Q49" s="5">
        <f>'[1]ÜDM sahələr üzrə'!AK63</f>
        <v>8498.7964305729547</v>
      </c>
      <c r="R49" s="5">
        <f>'[1]ÜDM sahələr üzrə'!AL63</f>
        <v>9481.40408370962</v>
      </c>
      <c r="S49" s="5">
        <f>'[1]ÜDM sahələr üzrə'!AM63</f>
        <v>10053.431300192644</v>
      </c>
      <c r="T49" s="6">
        <f>'[1]ÜDM sahələr üzrə'!AN63</f>
        <v>11031.22613692951</v>
      </c>
      <c r="U49" s="6">
        <f>'[1]ÜDM sahələr üzrə'!AO63</f>
        <v>11744.727748325715</v>
      </c>
    </row>
    <row r="50" spans="1:21" customFormat="1" ht="14">
      <c r="A50" s="66"/>
      <c r="B50" s="4" t="s">
        <v>73</v>
      </c>
      <c r="C50" s="153" t="s">
        <v>6</v>
      </c>
      <c r="D50" s="59">
        <v>33.861560715593932</v>
      </c>
      <c r="E50" s="5">
        <v>34.414135763600257</v>
      </c>
      <c r="F50" s="5">
        <v>34.312646063902577</v>
      </c>
      <c r="G50" s="5">
        <v>33.885352674149956</v>
      </c>
      <c r="H50" s="59">
        <v>34.017869452234542</v>
      </c>
      <c r="I50" s="59">
        <f>'[1]ÜDM sahələr üzrə'!AC64</f>
        <v>35.288114902626504</v>
      </c>
      <c r="J50" s="5">
        <f>'[1]ÜDM sahələr üzrə'!AD64</f>
        <v>34.703590785907863</v>
      </c>
      <c r="K50" s="6">
        <f>'[1]ÜDM sahələr üzrə'!AE64</f>
        <v>37.462460557148773</v>
      </c>
      <c r="L50" s="5">
        <f>'[1]ÜDM sahələr üzrə'!AF64</f>
        <v>37.687634058073719</v>
      </c>
      <c r="M50" s="5">
        <f>'[1]ÜDM sahələr üzrə'!AG64</f>
        <v>39.096869946002307</v>
      </c>
      <c r="N50" s="5">
        <f>'[1]ÜDM sahələr üzrə'!AH64</f>
        <v>34.286784408596304</v>
      </c>
      <c r="O50" s="5">
        <f>'[1]ÜDM sahələr üzrə'!AI64</f>
        <v>34.622800895650442</v>
      </c>
      <c r="P50" s="59">
        <f>'[1]ÜDM sahələr üzrə'!AJ64</f>
        <v>36.008002938942802</v>
      </c>
      <c r="Q50" s="5">
        <f>'[1]ÜDM sahələr üzrə'!AK64</f>
        <v>36.495179314664675</v>
      </c>
      <c r="R50" s="5">
        <f>'[1]ÜDM sahələr üzrə'!AL64</f>
        <v>36.150910405303726</v>
      </c>
      <c r="S50" s="5">
        <f>'[1]ÜDM sahələr üzrə'!AM64</f>
        <v>35.882549647459719</v>
      </c>
      <c r="T50" s="6">
        <f>'[1]ÜDM sahələr üzrə'!AN64</f>
        <v>35.711197108940276</v>
      </c>
      <c r="U50" s="6">
        <f>'[1]ÜDM sahələr üzrə'!AO64</f>
        <v>35.596075062211682</v>
      </c>
    </row>
    <row r="51" spans="1:21" customFormat="1" ht="14">
      <c r="A51" s="66"/>
      <c r="B51" s="3" t="s">
        <v>16</v>
      </c>
      <c r="C51" s="153" t="s">
        <v>6</v>
      </c>
      <c r="D51" s="59">
        <v>4.7823695934377355</v>
      </c>
      <c r="E51" s="5">
        <v>3.8273428783356849</v>
      </c>
      <c r="F51" s="5">
        <v>2.7714043275044702</v>
      </c>
      <c r="G51" s="5">
        <v>-1.2445836671428339</v>
      </c>
      <c r="H51" s="59">
        <v>-1.0892495752680844</v>
      </c>
      <c r="I51" s="59">
        <f>'[1]ÜDM sahələr üzrə'!AC65</f>
        <v>6.4126254999243457</v>
      </c>
      <c r="J51" s="5">
        <f>'[1]ÜDM sahələr üzrə'!AD65</f>
        <v>10.394400759979476</v>
      </c>
      <c r="K51" s="6">
        <f>'[1]ÜDM sahələr üzrə'!AE65</f>
        <v>9.6301461759968703</v>
      </c>
      <c r="L51" s="5">
        <f>'[1]ÜDM sahələr üzrə'!AF65</f>
        <v>19.537359226808817</v>
      </c>
      <c r="M51" s="5">
        <f>'[1]ÜDM sahələr üzrə'!AG65</f>
        <v>2.8846155248897389</v>
      </c>
      <c r="N51" s="5">
        <f>'[1]ÜDM sahələr üzrə'!AH65</f>
        <v>8.9515205074393265</v>
      </c>
      <c r="O51" s="5">
        <f>'[1]ÜDM sahələr üzrə'!AI65</f>
        <v>2.2481459151598528</v>
      </c>
      <c r="P51" s="59">
        <f>'[1]ÜDM sahələr üzrə'!AJ65</f>
        <v>8.2958599722331172</v>
      </c>
      <c r="Q51" s="5">
        <f>'[1]ÜDM sahələr üzrə'!AK65</f>
        <v>2.940072280382978</v>
      </c>
      <c r="R51" s="5">
        <f>'[1]ÜDM sahələr üzrə'!AL65</f>
        <v>8.8186630932251688</v>
      </c>
      <c r="S51" s="5">
        <f>'[1]ÜDM sahələr üzrə'!AM65</f>
        <v>2.0089878274771849</v>
      </c>
      <c r="T51" s="6">
        <f>'[1]ÜDM sahələr üzrə'!AN65</f>
        <v>6.428915350605763</v>
      </c>
      <c r="U51" s="6">
        <f>'[1]ÜDM sahələr üzrə'!AO65</f>
        <v>2.6268305489157768</v>
      </c>
    </row>
    <row r="52" spans="1:21" customFormat="1" ht="14">
      <c r="A52" s="67"/>
      <c r="B52" s="8" t="s">
        <v>56</v>
      </c>
      <c r="C52" s="154" t="s">
        <v>6</v>
      </c>
      <c r="D52" s="60">
        <v>0.9570104079410271</v>
      </c>
      <c r="E52" s="10">
        <v>9.0701097794434986</v>
      </c>
      <c r="F52" s="10">
        <v>-4.9256878011971139</v>
      </c>
      <c r="G52" s="10">
        <v>12.361335661841395</v>
      </c>
      <c r="H52" s="60">
        <v>10.9641573632221</v>
      </c>
      <c r="I52" s="60">
        <f>'[1]ÜDM sahələr üzrə'!AC66</f>
        <v>5.1921039434810581</v>
      </c>
      <c r="J52" s="10">
        <f>'[1]ÜDM sahələr üzrə'!AD66</f>
        <v>0.32062984179104603</v>
      </c>
      <c r="K52" s="11">
        <f>'[1]ÜDM sahələr üzrə'!AE66</f>
        <v>-1.42515773549637</v>
      </c>
      <c r="L52" s="10">
        <f>'[1]ÜDM sahələr üzrə'!AF66</f>
        <v>13.019279344531952</v>
      </c>
      <c r="M52" s="10">
        <f>'[1]ÜDM sahələr üzrə'!AG66</f>
        <v>14.99383901522198</v>
      </c>
      <c r="N52" s="10">
        <f>'[1]ÜDM sahələr üzrə'!AH66</f>
        <v>-18.135196120956273</v>
      </c>
      <c r="O52" s="10">
        <f>'[1]ÜDM sahələr üzrə'!AI66</f>
        <v>2.3960552902408949</v>
      </c>
      <c r="P52" s="60">
        <f>'[1]ÜDM sahələr üzrə'!AJ66</f>
        <v>9.0753554023675065</v>
      </c>
      <c r="Q52" s="10">
        <f>'[1]ÜDM sahələr üzrə'!AK66</f>
        <v>5.6104892131112223</v>
      </c>
      <c r="R52" s="10">
        <f>'[1]ÜDM sahələr üzrə'!AL66</f>
        <v>2.5207661670166033</v>
      </c>
      <c r="S52" s="10">
        <f>'[1]ÜDM sahələr üzrə'!AM66</f>
        <v>3.9449082438164567</v>
      </c>
      <c r="T52" s="11">
        <f>'[1]ÜDM sahələr üzrə'!AN66</f>
        <v>3.0979041963016414</v>
      </c>
      <c r="U52" s="11">
        <f>'[1]ÜDM sahələr üzrə'!AO66</f>
        <v>3.7428679210158862</v>
      </c>
    </row>
    <row r="53" spans="1:21" customFormat="1" ht="14" hidden="1">
      <c r="A53" s="69" t="s">
        <v>18</v>
      </c>
      <c r="B53" s="26" t="s">
        <v>82</v>
      </c>
      <c r="C53" s="164"/>
      <c r="D53" s="40"/>
      <c r="E53" s="18"/>
      <c r="F53" s="18"/>
      <c r="G53" s="18"/>
      <c r="H53" s="40"/>
      <c r="I53" s="40"/>
      <c r="J53" s="18"/>
      <c r="K53" s="19"/>
      <c r="L53" s="18"/>
      <c r="M53" s="18"/>
      <c r="N53" s="18"/>
      <c r="O53" s="18"/>
      <c r="P53" s="40"/>
      <c r="Q53" s="18"/>
      <c r="R53" s="18"/>
      <c r="S53" s="18"/>
      <c r="T53" s="19"/>
      <c r="U53" s="19"/>
    </row>
    <row r="54" spans="1:21" customFormat="1" ht="14" hidden="1">
      <c r="A54" s="70" t="s">
        <v>67</v>
      </c>
      <c r="B54" s="4" t="s">
        <v>68</v>
      </c>
      <c r="C54" s="153" t="s">
        <v>12</v>
      </c>
      <c r="D54" s="59">
        <v>2516.1617999999999</v>
      </c>
      <c r="E54" s="5">
        <v>2596.6536000000001</v>
      </c>
      <c r="F54" s="5">
        <v>2555.8000000000002</v>
      </c>
      <c r="G54" s="5">
        <v>2963.0794373371209</v>
      </c>
      <c r="H54" s="59">
        <v>2998.7</v>
      </c>
      <c r="I54" s="59">
        <f>'[1]ÜDM sahələr üzrə'!AC78</f>
        <v>3064</v>
      </c>
      <c r="J54" s="5">
        <f>'[1]ÜDM sahələr üzrə'!AD78</f>
        <v>3593.4</v>
      </c>
      <c r="K54" s="6">
        <f>'[1]ÜDM sahələr üzrə'!AE78</f>
        <v>3883.8</v>
      </c>
      <c r="L54" s="5">
        <f>'[1]ÜDM sahələr üzrə'!AF78</f>
        <v>4496.25</v>
      </c>
      <c r="M54" s="5">
        <f>'[1]ÜDM sahələr üzrə'!AG78</f>
        <v>4894.6499999999996</v>
      </c>
      <c r="N54" s="5">
        <f>'[1]ÜDM sahələr üzrə'!AH78</f>
        <v>4547.6000000000004</v>
      </c>
      <c r="O54" s="5">
        <f>'[1]ÜDM sahələr üzrə'!AI78</f>
        <v>4637.3999999999996</v>
      </c>
      <c r="P54" s="59">
        <f>'[1]ÜDM sahələr üzrə'!AJ78</f>
        <v>5455.1964486771494</v>
      </c>
      <c r="Q54" s="5">
        <f>'[1]ÜDM sahələr üzrə'!AK78</f>
        <v>6223.8878430583645</v>
      </c>
      <c r="R54" s="5">
        <f>'[1]ÜDM sahələr üzrə'!AL78</f>
        <v>7308.6195808706716</v>
      </c>
      <c r="S54" s="5">
        <f>'[1]ÜDM sahələr üzrə'!AM78</f>
        <v>8253.273764568863</v>
      </c>
      <c r="T54" s="6">
        <f>'[1]ÜDM sahələr üzrə'!AN78</f>
        <v>9232.4417967077025</v>
      </c>
      <c r="U54" s="6">
        <f>'[1]ÜDM sahələr üzrə'!AO78</f>
        <v>10422.468083482587</v>
      </c>
    </row>
    <row r="55" spans="1:21" customFormat="1" ht="14" hidden="1">
      <c r="A55" s="70" t="s">
        <v>69</v>
      </c>
      <c r="B55" s="4" t="s">
        <v>70</v>
      </c>
      <c r="C55" s="153" t="s">
        <v>12</v>
      </c>
      <c r="D55" s="59">
        <v>1939.6617999999999</v>
      </c>
      <c r="E55" s="5">
        <v>2000.2536</v>
      </c>
      <c r="F55" s="5">
        <v>1971.5000000000002</v>
      </c>
      <c r="G55" s="5">
        <v>2281.571166749583</v>
      </c>
      <c r="H55" s="59">
        <v>2309</v>
      </c>
      <c r="I55" s="59">
        <f>'[1]ÜDM sahələr üzrə'!AC79</f>
        <v>2395.355</v>
      </c>
      <c r="J55" s="5">
        <f>'[1]ÜDM sahələr üzrə'!AD79</f>
        <v>2795.96</v>
      </c>
      <c r="K55" s="6">
        <f>'[1]ÜDM sahələr üzrə'!AE79</f>
        <v>2780.6750000000002</v>
      </c>
      <c r="L55" s="5">
        <f>'[1]ÜDM sahələr üzrə'!AF79</f>
        <v>3445.25</v>
      </c>
      <c r="M55" s="5">
        <f>'[1]ÜDM sahələr üzrə'!AG79</f>
        <v>3746.5099999999993</v>
      </c>
      <c r="N55" s="5">
        <f>'[1]ÜDM sahələr üzrə'!AH79</f>
        <v>3365.1600000000003</v>
      </c>
      <c r="O55" s="5">
        <f>'[1]ÜDM sahələr üzrə'!AI79</f>
        <v>3431.7</v>
      </c>
      <c r="P55" s="59">
        <f>'[1]ÜDM sahələr üzrə'!AJ79</f>
        <v>4036.8736043742988</v>
      </c>
      <c r="Q55" s="5">
        <f>'[1]ÜDM sahələr üzrə'!AK79</f>
        <v>4605.7092144355429</v>
      </c>
      <c r="R55" s="5">
        <f>'[1]ÜDM sahələr üzrə'!AL79</f>
        <v>5408.4163142437319</v>
      </c>
      <c r="S55" s="5">
        <f>'[1]ÜDM sahələr üzrə'!AM79</f>
        <v>6107.4652990621826</v>
      </c>
      <c r="T55" s="6">
        <f>'[1]ÜDM sahələr üzrə'!AN79</f>
        <v>6832.054710346707</v>
      </c>
      <c r="U55" s="6">
        <f>'[1]ÜDM sahələr üzrə'!AO79</f>
        <v>7712.6803213195308</v>
      </c>
    </row>
    <row r="56" spans="1:21" customFormat="1" ht="14" hidden="1">
      <c r="A56" s="70" t="s">
        <v>71</v>
      </c>
      <c r="B56" s="4" t="s">
        <v>72</v>
      </c>
      <c r="C56" s="153" t="s">
        <v>12</v>
      </c>
      <c r="D56" s="59">
        <v>576.5</v>
      </c>
      <c r="E56" s="5">
        <v>596.4</v>
      </c>
      <c r="F56" s="5">
        <v>584.29999999999995</v>
      </c>
      <c r="G56" s="5">
        <v>681.50827058753782</v>
      </c>
      <c r="H56" s="59">
        <v>689.7</v>
      </c>
      <c r="I56" s="59">
        <f>'[1]ÜDM sahələr üzrə'!AC80</f>
        <v>668.64499999999998</v>
      </c>
      <c r="J56" s="5">
        <f>'[1]ÜDM sahələr üzrə'!AD80</f>
        <v>797.44</v>
      </c>
      <c r="K56" s="6">
        <f>'[1]ÜDM sahələr üzrə'!AE80</f>
        <v>1103.125</v>
      </c>
      <c r="L56" s="5">
        <f>'[1]ÜDM sahələr üzrə'!AF80</f>
        <v>1051</v>
      </c>
      <c r="M56" s="5">
        <f>'[1]ÜDM sahələr üzrə'!AG80</f>
        <v>1148.1400000000001</v>
      </c>
      <c r="N56" s="5">
        <f>'[1]ÜDM sahələr üzrə'!AH80</f>
        <v>1182.44</v>
      </c>
      <c r="O56" s="5">
        <f>'[1]ÜDM sahələr üzrə'!AI80</f>
        <v>1205.7</v>
      </c>
      <c r="P56" s="59">
        <f>'[1]ÜDM sahələr üzrə'!AJ80</f>
        <v>1418.3228443028506</v>
      </c>
      <c r="Q56" s="5">
        <f>'[1]ÜDM sahələr üzrə'!AK80</f>
        <v>1618.1786286228212</v>
      </c>
      <c r="R56" s="5">
        <f>'[1]ÜDM sahələr üzrə'!AL80</f>
        <v>1900.2032666269397</v>
      </c>
      <c r="S56" s="5">
        <f>'[1]ÜDM sahələr üzrə'!AM80</f>
        <v>2145.8084655066805</v>
      </c>
      <c r="T56" s="6">
        <f>'[1]ÜDM sahələr üzrə'!AN80</f>
        <v>2400.387086360995</v>
      </c>
      <c r="U56" s="6">
        <f>'[1]ÜDM sahələr üzrə'!AO80</f>
        <v>2709.787762163056</v>
      </c>
    </row>
    <row r="57" spans="1:21" customFormat="1" ht="14" hidden="1">
      <c r="A57" s="70"/>
      <c r="B57" s="4" t="s">
        <v>73</v>
      </c>
      <c r="C57" s="153" t="s">
        <v>6</v>
      </c>
      <c r="D57" s="59">
        <v>22.911881103989419</v>
      </c>
      <c r="E57" s="5">
        <v>22.968023151027921</v>
      </c>
      <c r="F57" s="5">
        <v>22.861726269661158</v>
      </c>
      <c r="G57" s="5">
        <v>23</v>
      </c>
      <c r="H57" s="59">
        <v>22.999966652215964</v>
      </c>
      <c r="I57" s="59">
        <f>'[1]ÜDM sahələr üzrə'!AC81</f>
        <v>21.822617493472585</v>
      </c>
      <c r="J57" s="5">
        <f>'[1]ÜDM sahələr üzrə'!AD81</f>
        <v>22.19179607057383</v>
      </c>
      <c r="K57" s="6">
        <f>'[1]ÜDM sahələr üzrə'!AE81</f>
        <v>28.403239095730981</v>
      </c>
      <c r="L57" s="5">
        <f>'[1]ÜDM sahələr üzrə'!AF81</f>
        <v>23.375034751181538</v>
      </c>
      <c r="M57" s="5">
        <f>'[1]ÜDM sahələr üzrə'!AG81</f>
        <v>23.457039829201275</v>
      </c>
      <c r="N57" s="5">
        <f>'[1]ÜDM sahələr üzrə'!AH81</f>
        <v>26.001407335737532</v>
      </c>
      <c r="O57" s="5">
        <f>'[1]ÜDM sahələr üzrə'!AI81</f>
        <v>25.999482468624663</v>
      </c>
      <c r="P57" s="59">
        <f>'[1]ÜDM sahələr üzrə'!AJ81</f>
        <v>25.999482468624663</v>
      </c>
      <c r="Q57" s="5">
        <f>'[1]ÜDM sahələr üzrə'!AK81</f>
        <v>25.999482468624663</v>
      </c>
      <c r="R57" s="5">
        <f>'[1]ÜDM sahələr üzrə'!AL81</f>
        <v>25.999482468624663</v>
      </c>
      <c r="S57" s="5">
        <f>'[1]ÜDM sahələr üzrə'!AM81</f>
        <v>25.999482468624663</v>
      </c>
      <c r="T57" s="6">
        <f>'[1]ÜDM sahələr üzrə'!AN81</f>
        <v>25.999482468624663</v>
      </c>
      <c r="U57" s="6">
        <f>'[1]ÜDM sahələr üzrə'!AO81</f>
        <v>25.999482468624663</v>
      </c>
    </row>
    <row r="58" spans="1:21" customFormat="1" ht="14" hidden="1">
      <c r="A58" s="70"/>
      <c r="B58" s="4" t="s">
        <v>16</v>
      </c>
      <c r="C58" s="153" t="s">
        <v>6</v>
      </c>
      <c r="D58" s="59">
        <v>1.7</v>
      </c>
      <c r="E58" s="5">
        <v>2</v>
      </c>
      <c r="F58" s="5">
        <v>2.5</v>
      </c>
      <c r="G58" s="5">
        <v>4.8</v>
      </c>
      <c r="H58" s="59">
        <v>1</v>
      </c>
      <c r="I58" s="59">
        <f>'[1]ÜDM sahələr üzrə'!AC82</f>
        <v>1.3</v>
      </c>
      <c r="J58" s="5">
        <f>'[1]ÜDM sahələr üzrə'!AD82</f>
        <v>13</v>
      </c>
      <c r="K58" s="6">
        <f>'[1]ÜDM sahələr üzrə'!AE82</f>
        <v>6.6</v>
      </c>
      <c r="L58" s="5">
        <f>'[1]ÜDM sahələr üzrə'!AF82</f>
        <v>12.6</v>
      </c>
      <c r="M58" s="5">
        <f>'[1]ÜDM sahələr üzrə'!AG82</f>
        <v>8.1999999999999993</v>
      </c>
      <c r="N58" s="5">
        <f>'[1]ÜDM sahələr üzrə'!AH82</f>
        <v>9.17</v>
      </c>
      <c r="O58" s="5">
        <f>'[1]ÜDM sahələr üzrə'!AI82</f>
        <v>10.46</v>
      </c>
      <c r="P58" s="59">
        <f>'[1]ÜDM sahələr üzrə'!AJ82</f>
        <v>11.046250628799001</v>
      </c>
      <c r="Q58" s="5">
        <f>'[1]ÜDM sahələr üzrə'!AK82</f>
        <v>8.8068407865309979</v>
      </c>
      <c r="R58" s="5">
        <f>'[1]ÜDM sahələr üzrə'!AL82</f>
        <v>12.348953175132692</v>
      </c>
      <c r="S58" s="5">
        <f>'[1]ÜDM sahələr üzrə'!AM82</f>
        <v>8.3695922858053819</v>
      </c>
      <c r="T58" s="6">
        <f>'[1]ÜDM sahələr üzrə'!AN82</f>
        <v>7.3878835933724076</v>
      </c>
      <c r="U58" s="6">
        <f>'[1]ÜDM sahələr üzrə'!AO82</f>
        <v>8.6138930707332548</v>
      </c>
    </row>
    <row r="59" spans="1:21" customFormat="1" ht="14" hidden="1">
      <c r="A59" s="71"/>
      <c r="B59" s="9" t="s">
        <v>56</v>
      </c>
      <c r="C59" s="154" t="s">
        <v>6</v>
      </c>
      <c r="D59" s="60">
        <v>-5.5227794165847257</v>
      </c>
      <c r="E59" s="10">
        <v>1.4233967654711392</v>
      </c>
      <c r="F59" s="10">
        <v>-4.4183801998985786</v>
      </c>
      <c r="G59" s="10">
        <v>11.294566374120592</v>
      </c>
      <c r="H59" s="60">
        <v>0.20000000000000284</v>
      </c>
      <c r="I59" s="59">
        <f>'[1]ÜDM sahələr üzrə'!AC83</f>
        <v>-4.2969166530335485</v>
      </c>
      <c r="J59" s="10">
        <f>'[1]ÜDM sahələr üzrə'!AD83</f>
        <v>5.5416723439565061</v>
      </c>
      <c r="K59" s="11">
        <f>'[1]ÜDM sahələr üzrə'!AE83</f>
        <v>29.768566165952393</v>
      </c>
      <c r="L59" s="10">
        <f>'[1]ÜDM sahələr üzrə'!AF83</f>
        <v>-15.386511957894513</v>
      </c>
      <c r="M59" s="10">
        <f>'[1]ÜDM sahələr üzrə'!AG83</f>
        <v>0.96361004658886884</v>
      </c>
      <c r="N59" s="10">
        <f>'[1]ÜDM sahələr üzrə'!AH83</f>
        <v>-5.6632403077495894</v>
      </c>
      <c r="O59" s="10">
        <f>'[1]ÜDM sahələr üzrə'!AI83</f>
        <v>-7.6886485252481691</v>
      </c>
      <c r="P59" s="60">
        <f>'[1]ÜDM sahələr üzrə'!AJ83</f>
        <v>5.933162415254543</v>
      </c>
      <c r="Q59" s="10">
        <f>'[1]ÜDM sahələr üzrə'!AK83</f>
        <v>4.8564529527506721</v>
      </c>
      <c r="R59" s="10">
        <f>'[1]ÜDM sahələr üzrə'!AL83</f>
        <v>4.5212437674539245</v>
      </c>
      <c r="S59" s="10">
        <f>'[1]ÜDM sahələr üzrə'!AM83</f>
        <v>4.2037754897337862</v>
      </c>
      <c r="T59" s="11">
        <f>'[1]ÜDM sahələr üzrə'!AN83</f>
        <v>4.1681722431062838</v>
      </c>
      <c r="U59" s="11">
        <f>'[1]ÜDM sahələr üzrə'!AO83</f>
        <v>3.9366260789361718</v>
      </c>
    </row>
    <row r="60" spans="1:21" customFormat="1" ht="14" hidden="1">
      <c r="A60" s="69" t="s">
        <v>19</v>
      </c>
      <c r="B60" s="26" t="s">
        <v>83</v>
      </c>
      <c r="C60" s="164"/>
      <c r="D60" s="40"/>
      <c r="E60" s="18"/>
      <c r="F60" s="18"/>
      <c r="G60" s="18"/>
      <c r="H60" s="40"/>
      <c r="I60" s="94"/>
      <c r="J60" s="18"/>
      <c r="K60" s="19"/>
      <c r="L60" s="18"/>
      <c r="M60" s="18"/>
      <c r="N60" s="18"/>
      <c r="O60" s="18"/>
      <c r="P60" s="40"/>
      <c r="Q60" s="18"/>
      <c r="R60" s="18"/>
      <c r="S60" s="18"/>
      <c r="T60" s="19"/>
      <c r="U60" s="19"/>
    </row>
    <row r="61" spans="1:21" customFormat="1" ht="14" hidden="1">
      <c r="A61" s="70" t="s">
        <v>67</v>
      </c>
      <c r="B61" s="4" t="s">
        <v>68</v>
      </c>
      <c r="C61" s="153" t="s">
        <v>12</v>
      </c>
      <c r="D61" s="59">
        <v>207.7</v>
      </c>
      <c r="E61" s="5">
        <v>232.1</v>
      </c>
      <c r="F61" s="5">
        <v>196.8</v>
      </c>
      <c r="G61" s="5">
        <v>223.24037229799728</v>
      </c>
      <c r="H61" s="59">
        <v>262.95</v>
      </c>
      <c r="I61" s="59">
        <f>'[1]ÜDM sahələr üzrə'!AC85</f>
        <v>295.60000000000002</v>
      </c>
      <c r="J61" s="5">
        <f>'[1]ÜDM sahələr üzrə'!AD85</f>
        <v>433.7</v>
      </c>
      <c r="K61" s="6">
        <f>'[1]ÜDM sahələr üzrə'!AE85</f>
        <v>429.3</v>
      </c>
      <c r="L61" s="5">
        <f>'[1]ÜDM sahələr üzrə'!AF85</f>
        <v>493.5</v>
      </c>
      <c r="M61" s="5">
        <f>'[1]ÜDM sahələr üzrə'!AG85</f>
        <v>560.46</v>
      </c>
      <c r="N61" s="5">
        <f>'[1]ÜDM sahələr üzrə'!AH85</f>
        <v>704.9</v>
      </c>
      <c r="O61" s="5">
        <f>'[1]ÜDM sahələr üzrə'!AI85</f>
        <v>785</v>
      </c>
      <c r="P61" s="59">
        <f>'[1]ÜDM sahələr üzrə'!AJ85</f>
        <v>872.62192753326474</v>
      </c>
      <c r="Q61" s="5">
        <f>'[1]ÜDM sahələr üzrə'!AK85</f>
        <v>909.27978278321859</v>
      </c>
      <c r="R61" s="5">
        <f>'[1]ÜDM sahələr üzrə'!AL85</f>
        <v>977.83962772268933</v>
      </c>
      <c r="S61" s="5">
        <f>'[1]ÜDM sahələr üzrə'!AM85</f>
        <v>1070.5764818778375</v>
      </c>
      <c r="T61" s="6">
        <f>'[1]ÜDM sahələr üzrə'!AN85</f>
        <v>1181.2688672214881</v>
      </c>
      <c r="U61" s="6">
        <f>'[1]ÜDM sahələr üzrə'!AO85</f>
        <v>1203.1788349500816</v>
      </c>
    </row>
    <row r="62" spans="1:21" customFormat="1" ht="14" hidden="1">
      <c r="A62" s="70" t="s">
        <v>69</v>
      </c>
      <c r="B62" s="4" t="s">
        <v>70</v>
      </c>
      <c r="C62" s="153" t="s">
        <v>12</v>
      </c>
      <c r="D62" s="59">
        <v>113.89999999999999</v>
      </c>
      <c r="E62" s="5">
        <v>127.69999999999999</v>
      </c>
      <c r="F62" s="5">
        <v>108.05000000000001</v>
      </c>
      <c r="G62" s="5">
        <v>122.78220476389851</v>
      </c>
      <c r="H62" s="59">
        <v>144.89999999999998</v>
      </c>
      <c r="I62" s="59">
        <f>'[1]ÜDM sahələr üzrə'!AC86</f>
        <v>161.95600000000002</v>
      </c>
      <c r="J62" s="5">
        <f>'[1]ÜDM sahələr üzrə'!AD86</f>
        <v>237.86999999999998</v>
      </c>
      <c r="K62" s="6">
        <f>'[1]ÜDM sahələr üzrə'!AE86</f>
        <v>236.38000000000002</v>
      </c>
      <c r="L62" s="5">
        <f>'[1]ÜDM sahələr üzrə'!AF86</f>
        <v>284.3</v>
      </c>
      <c r="M62" s="5">
        <f>'[1]ÜDM sahələr üzrə'!AG86</f>
        <v>330.92000000000007</v>
      </c>
      <c r="N62" s="5">
        <f>'[1]ÜDM sahələr üzrə'!AH86</f>
        <v>427.15999999999997</v>
      </c>
      <c r="O62" s="5">
        <f>'[1]ÜDM sahələr üzrə'!AI86</f>
        <v>475.66</v>
      </c>
      <c r="P62" s="59">
        <f>'[1]ÜDM sahələr üzrə'!AJ86</f>
        <v>528.75330707066587</v>
      </c>
      <c r="Q62" s="5">
        <f>'[1]ÜDM sahələr üzrə'!AK86</f>
        <v>550.96563245689913</v>
      </c>
      <c r="R62" s="5">
        <f>'[1]ÜDM sahələr üzrə'!AL86</f>
        <v>592.50853162111389</v>
      </c>
      <c r="S62" s="5">
        <f>'[1]ÜDM sahələr üzrə'!AM86</f>
        <v>648.70115843313658</v>
      </c>
      <c r="T62" s="6">
        <f>'[1]ÜDM sahələr üzrə'!AN86</f>
        <v>715.77369348098478</v>
      </c>
      <c r="U62" s="6">
        <f>'[1]ÜDM sahələr üzrə'!AO86</f>
        <v>729.04973838516662</v>
      </c>
    </row>
    <row r="63" spans="1:21" customFormat="1" ht="14" hidden="1">
      <c r="A63" s="70" t="s">
        <v>71</v>
      </c>
      <c r="B63" s="4" t="s">
        <v>72</v>
      </c>
      <c r="C63" s="153" t="s">
        <v>12</v>
      </c>
      <c r="D63" s="59">
        <v>93.8</v>
      </c>
      <c r="E63" s="5">
        <v>104.4</v>
      </c>
      <c r="F63" s="5">
        <v>88.75</v>
      </c>
      <c r="G63" s="5">
        <v>100.45816753409878</v>
      </c>
      <c r="H63" s="59">
        <v>118.05</v>
      </c>
      <c r="I63" s="59">
        <f>'[1]ÜDM sahələr üzrə'!AC87</f>
        <v>133.64400000000001</v>
      </c>
      <c r="J63" s="5">
        <f>'[1]ÜDM sahələr üzrə'!AD87</f>
        <v>195.83</v>
      </c>
      <c r="K63" s="6">
        <f>'[1]ÜDM sahələr üzrə'!AE87</f>
        <v>192.92</v>
      </c>
      <c r="L63" s="5">
        <f>'[1]ÜDM sahələr üzrə'!AF87</f>
        <v>209.2</v>
      </c>
      <c r="M63" s="5">
        <f>'[1]ÜDM sahələr üzrə'!AG87</f>
        <v>229.54</v>
      </c>
      <c r="N63" s="5">
        <f>'[1]ÜDM sahələr üzrə'!AH87</f>
        <v>277.74</v>
      </c>
      <c r="O63" s="5">
        <f>'[1]ÜDM sahələr üzrə'!AI87</f>
        <v>309.33999999999997</v>
      </c>
      <c r="P63" s="59">
        <f>'[1]ÜDM sahələr üzrə'!AJ87</f>
        <v>343.86862046259887</v>
      </c>
      <c r="Q63" s="5">
        <f>'[1]ÜDM sahələr üzrə'!AK87</f>
        <v>358.31415032631952</v>
      </c>
      <c r="R63" s="5">
        <f>'[1]ÜDM sahələr üzrə'!AL87</f>
        <v>385.33109610157538</v>
      </c>
      <c r="S63" s="5">
        <f>'[1]ÜDM sahələr üzrə'!AM87</f>
        <v>421.87532344470094</v>
      </c>
      <c r="T63" s="6">
        <f>'[1]ÜDM sahələr üzrə'!AN87</f>
        <v>465.49517374050333</v>
      </c>
      <c r="U63" s="6">
        <f>'[1]ÜDM sahələr üzrə'!AO87</f>
        <v>474.12909656491496</v>
      </c>
    </row>
    <row r="64" spans="1:21" customFormat="1" ht="14" hidden="1">
      <c r="A64" s="70"/>
      <c r="B64" s="4" t="s">
        <v>73</v>
      </c>
      <c r="C64" s="153" t="s">
        <v>6</v>
      </c>
      <c r="D64" s="59">
        <v>45.161290322580641</v>
      </c>
      <c r="E64" s="5">
        <v>44.980611805256359</v>
      </c>
      <c r="F64" s="5">
        <v>45.096544715447152</v>
      </c>
      <c r="G64" s="5">
        <v>45</v>
      </c>
      <c r="H64" s="59">
        <v>44.894466628636629</v>
      </c>
      <c r="I64" s="59">
        <f>'[1]ÜDM sahələr üzrə'!AC88</f>
        <v>45.21109607577808</v>
      </c>
      <c r="J64" s="5">
        <f>'[1]ÜDM sahələr üzrə'!AD88</f>
        <v>45.153331796172473</v>
      </c>
      <c r="K64" s="6">
        <f>'[1]ÜDM sahələr üzrə'!AE88</f>
        <v>44.938271604938265</v>
      </c>
      <c r="L64" s="5">
        <f>'[1]ÜDM sahələr üzrə'!AF88</f>
        <v>42.391084093211752</v>
      </c>
      <c r="M64" s="5">
        <f>'[1]ÜDM sahələr üzrə'!AG88</f>
        <v>40.955643578489095</v>
      </c>
      <c r="N64" s="5">
        <f>'[1]ÜDM sahələr üzrə'!AH88</f>
        <v>39.401333522485459</v>
      </c>
      <c r="O64" s="5">
        <f>'[1]ÜDM sahələr üzrə'!AI88</f>
        <v>39.406369426751588</v>
      </c>
      <c r="P64" s="59">
        <f>'[1]ÜDM sahələr üzrə'!AJ88</f>
        <v>39.406369426751588</v>
      </c>
      <c r="Q64" s="5">
        <f>'[1]ÜDM sahələr üzrə'!AK88</f>
        <v>39.406369426751588</v>
      </c>
      <c r="R64" s="5">
        <f>'[1]ÜDM sahələr üzrə'!AL88</f>
        <v>39.406369426751588</v>
      </c>
      <c r="S64" s="5">
        <f>'[1]ÜDM sahələr üzrə'!AM88</f>
        <v>39.406369426751588</v>
      </c>
      <c r="T64" s="6">
        <f>'[1]ÜDM sahələr üzrə'!AN88</f>
        <v>39.406369426751588</v>
      </c>
      <c r="U64" s="6">
        <f>'[1]ÜDM sahələr üzrə'!AO88</f>
        <v>39.406369426751588</v>
      </c>
    </row>
    <row r="65" spans="1:21" customFormat="1" ht="14" hidden="1">
      <c r="A65" s="70"/>
      <c r="B65" s="4" t="s">
        <v>16</v>
      </c>
      <c r="C65" s="153" t="s">
        <v>6</v>
      </c>
      <c r="D65" s="59">
        <v>13.2</v>
      </c>
      <c r="E65" s="5">
        <v>4.5999999999999943</v>
      </c>
      <c r="F65" s="5">
        <v>-19.2</v>
      </c>
      <c r="G65" s="5">
        <v>-5.6</v>
      </c>
      <c r="H65" s="59">
        <v>21.9</v>
      </c>
      <c r="I65" s="59">
        <f>'[1]ÜDM sahələr üzrə'!AC89</f>
        <v>12.15</v>
      </c>
      <c r="J65" s="5">
        <f>'[1]ÜDM sahələr üzrə'!AD89</f>
        <v>41.35</v>
      </c>
      <c r="K65" s="6">
        <f>'[1]ÜDM sahələr üzrə'!AE89</f>
        <v>-5</v>
      </c>
      <c r="L65" s="5">
        <f>'[1]ÜDM sahələr üzrə'!AF89</f>
        <v>2.7</v>
      </c>
      <c r="M65" s="5">
        <f>'[1]ÜDM sahələr üzrə'!AG89</f>
        <v>-2.2000000000000002</v>
      </c>
      <c r="N65" s="5">
        <f>'[1]ÜDM sahələr üzrə'!AH89</f>
        <v>13.9</v>
      </c>
      <c r="O65" s="5">
        <f>'[1]ÜDM sahələr üzrə'!AI89</f>
        <v>15.7</v>
      </c>
      <c r="P65" s="59">
        <f>'[1]ÜDM sahələr üzrə'!AJ89</f>
        <v>4.7433743187322364</v>
      </c>
      <c r="Q65" s="5">
        <f>'[1]ÜDM sahələr üzrə'!AK89</f>
        <v>3.7914352898430508</v>
      </c>
      <c r="R65" s="5">
        <f>'[1]ÜDM sahələr üzrə'!AL89</f>
        <v>3.7449467711940372</v>
      </c>
      <c r="S65" s="5">
        <f>'[1]ÜDM sahələr üzrə'!AM89</f>
        <v>3.5260996353207759</v>
      </c>
      <c r="T65" s="6">
        <f>'[1]ÜDM sahələr üzrə'!AN89</f>
        <v>3.2827312572987211</v>
      </c>
      <c r="U65" s="6">
        <f>'[1]ÜDM sahələr üzrə'!AO89</f>
        <v>-4.6190821138629872</v>
      </c>
    </row>
    <row r="66" spans="1:21" customFormat="1" ht="14" hidden="1">
      <c r="A66" s="71"/>
      <c r="B66" s="9" t="s">
        <v>56</v>
      </c>
      <c r="C66" s="154" t="s">
        <v>6</v>
      </c>
      <c r="D66" s="60">
        <v>19.05487185735754</v>
      </c>
      <c r="E66" s="10">
        <v>6.4059652570254428</v>
      </c>
      <c r="F66" s="10">
        <v>5.2098744357194136</v>
      </c>
      <c r="G66" s="10">
        <v>19.907098990330383</v>
      </c>
      <c r="H66" s="60">
        <v>-3.6000000000000085</v>
      </c>
      <c r="I66" s="59">
        <f>'[1]ÜDM sahələr üzrə'!AC90</f>
        <v>0.86795621930382083</v>
      </c>
      <c r="J66" s="10">
        <f>'[1]ÜDM sahələr üzrə'!AD90</f>
        <v>3.6654280704593134</v>
      </c>
      <c r="K66" s="11">
        <f>'[1]ÜDM sahələr üzrə'!AE90</f>
        <v>3.6989655367034118</v>
      </c>
      <c r="L66" s="10">
        <f>'[1]ÜDM sahələr üzrə'!AF90</f>
        <v>5.5878588902049842</v>
      </c>
      <c r="M66" s="10">
        <f>'[1]ÜDM sahələr üzrə'!AG90</f>
        <v>12.1909543415954</v>
      </c>
      <c r="N66" s="10">
        <f>'[1]ÜDM sahələr üzrə'!AH90</f>
        <v>6.2322377319436555</v>
      </c>
      <c r="O66" s="10">
        <f>'[1]ÜDM sahələr üzrə'!AI90</f>
        <v>-3.7359141344519458</v>
      </c>
      <c r="P66" s="60">
        <f>'[1]ÜDM sahələr üzrə'!AJ90</f>
        <v>6.1279815626954957</v>
      </c>
      <c r="Q66" s="10">
        <f>'[1]ÜDM sahələr üzrə'!AK90</f>
        <v>0.39449405159217577</v>
      </c>
      <c r="R66" s="10">
        <f>'[1]ÜDM sahələr üzrə'!AL90</f>
        <v>3.6580766277724024</v>
      </c>
      <c r="S66" s="10">
        <f>'[1]ÜDM sahələr üzrə'!AM90</f>
        <v>5.7548303972367023</v>
      </c>
      <c r="T66" s="11">
        <f>'[1]ÜDM sahələr üzrə'!AN90</f>
        <v>6.83248864527188</v>
      </c>
      <c r="U66" s="11">
        <f>'[1]ÜDM sahələr üzrə'!AO90</f>
        <v>6.7873791898125972</v>
      </c>
    </row>
    <row r="67" spans="1:21" customFormat="1" ht="14" hidden="1">
      <c r="A67" s="69" t="s">
        <v>84</v>
      </c>
      <c r="B67" s="26" t="s">
        <v>85</v>
      </c>
      <c r="C67" s="164"/>
      <c r="D67" s="40"/>
      <c r="E67" s="18"/>
      <c r="F67" s="18"/>
      <c r="G67" s="18"/>
      <c r="H67" s="40"/>
      <c r="I67" s="94"/>
      <c r="J67" s="18"/>
      <c r="K67" s="19"/>
      <c r="L67" s="18"/>
      <c r="M67" s="18"/>
      <c r="N67" s="18"/>
      <c r="O67" s="18"/>
      <c r="P67" s="40"/>
      <c r="Q67" s="18"/>
      <c r="R67" s="18"/>
      <c r="S67" s="18"/>
      <c r="T67" s="19"/>
      <c r="U67" s="19"/>
    </row>
    <row r="68" spans="1:21" customFormat="1" ht="14" hidden="1">
      <c r="A68" s="70" t="s">
        <v>67</v>
      </c>
      <c r="B68" s="4" t="s">
        <v>68</v>
      </c>
      <c r="C68" s="153" t="s">
        <v>12</v>
      </c>
      <c r="D68" s="59">
        <v>13.1</v>
      </c>
      <c r="E68" s="5">
        <v>24.6</v>
      </c>
      <c r="F68" s="5">
        <v>27.4</v>
      </c>
      <c r="G68" s="5">
        <v>41.257315084822366</v>
      </c>
      <c r="H68" s="59">
        <v>39</v>
      </c>
      <c r="I68" s="59">
        <f>'[1]ÜDM sahələr üzrə'!AC92</f>
        <v>56.2</v>
      </c>
      <c r="J68" s="5">
        <f>'[1]ÜDM sahələr üzrə'!AD92</f>
        <v>249.1</v>
      </c>
      <c r="K68" s="6">
        <f>'[1]ÜDM sahələr üzrə'!AE92</f>
        <v>436.5</v>
      </c>
      <c r="L68" s="5">
        <f>'[1]ÜDM sahələr üzrə'!AF92</f>
        <v>678.3</v>
      </c>
      <c r="M68" s="5">
        <f>'[1]ÜDM sahələr üzrə'!AG92</f>
        <v>768.7</v>
      </c>
      <c r="N68" s="5">
        <f>'[1]ÜDM sahələr üzrə'!AH92</f>
        <v>949</v>
      </c>
      <c r="O68" s="5">
        <f>'[1]ÜDM sahələr üzrə'!AI92</f>
        <v>842.3</v>
      </c>
      <c r="P68" s="59">
        <f>'[1]ÜDM sahələr üzrə'!AJ92</f>
        <v>896.33223285143174</v>
      </c>
      <c r="Q68" s="5">
        <f>'[1]ÜDM sahələr üzrə'!AK92</f>
        <v>1000.1698221958274</v>
      </c>
      <c r="R68" s="5">
        <f>'[1]ÜDM sahələr üzrə'!AL92</f>
        <v>1089.1970672110642</v>
      </c>
      <c r="S68" s="5">
        <f>'[1]ÜDM sahələr üzrə'!AM92</f>
        <v>1192.8993506793624</v>
      </c>
      <c r="T68" s="6">
        <f>'[1]ÜDM sahələr üzrə'!AN92</f>
        <v>1307.2443189294581</v>
      </c>
      <c r="U68" s="6">
        <f>'[1]ÜDM sahələr üzrə'!AO92</f>
        <v>1343.4160794538946</v>
      </c>
    </row>
    <row r="69" spans="1:21" customFormat="1" ht="14" hidden="1">
      <c r="A69" s="70" t="s">
        <v>69</v>
      </c>
      <c r="B69" s="4" t="s">
        <v>70</v>
      </c>
      <c r="C69" s="153" t="s">
        <v>12</v>
      </c>
      <c r="D69" s="59">
        <v>9.3981999999999992</v>
      </c>
      <c r="E69" s="5">
        <v>17.55</v>
      </c>
      <c r="F69" s="5">
        <v>19.43</v>
      </c>
      <c r="G69" s="5">
        <v>29.210179080054235</v>
      </c>
      <c r="H69" s="59">
        <v>27.6</v>
      </c>
      <c r="I69" s="59">
        <f>'[1]ÜDM sahələr üzrə'!AC93</f>
        <v>39.5</v>
      </c>
      <c r="J69" s="5">
        <f>'[1]ÜDM sahələr üzrə'!AD93</f>
        <v>176.29</v>
      </c>
      <c r="K69" s="6">
        <f>'[1]ÜDM sahələr üzrə'!AE93</f>
        <v>282.3</v>
      </c>
      <c r="L69" s="5">
        <f>'[1]ÜDM sahələr üzrə'!AF93</f>
        <v>407.2</v>
      </c>
      <c r="M69" s="5">
        <f>'[1]ÜDM sahələr üzrə'!AG93</f>
        <v>438.46000000000004</v>
      </c>
      <c r="N69" s="5">
        <f>'[1]ÜDM sahələr üzrə'!AH93</f>
        <v>547.6</v>
      </c>
      <c r="O69" s="5">
        <f>'[1]ÜDM sahələr üzrə'!AI93</f>
        <v>485.99999999999994</v>
      </c>
      <c r="P69" s="59">
        <f>'[1]ÜDM sahələr üzrə'!AJ93</f>
        <v>517.17614290133656</v>
      </c>
      <c r="Q69" s="5">
        <f>'[1]ÜDM sahələr üzrə'!AK93</f>
        <v>577.08955667478574</v>
      </c>
      <c r="R69" s="5">
        <f>'[1]ÜDM sahələr üzrə'!AL93</f>
        <v>628.45752661115648</v>
      </c>
      <c r="S69" s="5">
        <f>'[1]ÜDM sahələr üzrə'!AM93</f>
        <v>688.29287003463151</v>
      </c>
      <c r="T69" s="6">
        <f>'[1]ÜDM sahələr üzrə'!AN93</f>
        <v>754.26895286681304</v>
      </c>
      <c r="U69" s="6">
        <f>'[1]ÜDM sahələr üzrə'!AO93</f>
        <v>775.1397537867656</v>
      </c>
    </row>
    <row r="70" spans="1:21" customFormat="1" ht="14" hidden="1">
      <c r="A70" s="70" t="s">
        <v>71</v>
      </c>
      <c r="B70" s="4" t="s">
        <v>72</v>
      </c>
      <c r="C70" s="153" t="s">
        <v>12</v>
      </c>
      <c r="D70" s="59">
        <v>3.7018</v>
      </c>
      <c r="E70" s="5">
        <v>7.05</v>
      </c>
      <c r="F70" s="5">
        <v>7.97</v>
      </c>
      <c r="G70" s="5">
        <v>12.047136004768131</v>
      </c>
      <c r="H70" s="59">
        <v>11.4</v>
      </c>
      <c r="I70" s="59">
        <f>'[1]ÜDM sahələr üzrə'!AC94</f>
        <v>16.7</v>
      </c>
      <c r="J70" s="5">
        <f>'[1]ÜDM sahələr üzrə'!AD94</f>
        <v>72.81</v>
      </c>
      <c r="K70" s="6">
        <f>'[1]ÜDM sahələr üzrə'!AE94</f>
        <v>154.19999999999999</v>
      </c>
      <c r="L70" s="5">
        <f>'[1]ÜDM sahələr üzrə'!AF94</f>
        <v>271.09999999999997</v>
      </c>
      <c r="M70" s="5">
        <f>'[1]ÜDM sahələr üzrə'!AG94</f>
        <v>330.24</v>
      </c>
      <c r="N70" s="5">
        <f>'[1]ÜDM sahələr üzrə'!AH94</f>
        <v>401.4</v>
      </c>
      <c r="O70" s="5">
        <f>'[1]ÜDM sahələr üzrə'!AI94</f>
        <v>356.3</v>
      </c>
      <c r="P70" s="59">
        <f>'[1]ÜDM sahələr üzrə'!AJ94</f>
        <v>379.15608995009518</v>
      </c>
      <c r="Q70" s="5">
        <f>'[1]ÜDM sahələr üzrə'!AK94</f>
        <v>423.08026552104161</v>
      </c>
      <c r="R70" s="5">
        <f>'[1]ÜDM sahələr üzrə'!AL94</f>
        <v>460.73954059990768</v>
      </c>
      <c r="S70" s="5">
        <f>'[1]ÜDM sahələr üzrə'!AM94</f>
        <v>504.60648064473099</v>
      </c>
      <c r="T70" s="6">
        <f>'[1]ÜDM sahələr üzrə'!AN94</f>
        <v>552.97536606264509</v>
      </c>
      <c r="U70" s="6">
        <f>'[1]ÜDM sahələr üzrə'!AO94</f>
        <v>568.27632566712896</v>
      </c>
    </row>
    <row r="71" spans="1:21" customFormat="1" ht="14" hidden="1">
      <c r="A71" s="70"/>
      <c r="B71" s="4" t="s">
        <v>73</v>
      </c>
      <c r="C71" s="153" t="s">
        <v>6</v>
      </c>
      <c r="D71" s="59">
        <v>28.258015267175573</v>
      </c>
      <c r="E71" s="5">
        <v>28.658536585365852</v>
      </c>
      <c r="F71" s="5">
        <v>29.087591240875916</v>
      </c>
      <c r="G71" s="5">
        <v>29.2</v>
      </c>
      <c r="H71" s="59">
        <v>29.230769230769234</v>
      </c>
      <c r="I71" s="59">
        <f>'[1]ÜDM sahələr üzrə'!AC95</f>
        <v>29.715302491103202</v>
      </c>
      <c r="J71" s="5">
        <f>'[1]ÜDM sahələr üzrə'!AD95</f>
        <v>29.229225210758731</v>
      </c>
      <c r="K71" s="6">
        <f>'[1]ÜDM sahələr üzrə'!AE95</f>
        <v>35.326460481099652</v>
      </c>
      <c r="L71" s="5">
        <f>'[1]ÜDM sahələr üzrə'!AF95</f>
        <v>39.967565973757921</v>
      </c>
      <c r="M71" s="5">
        <f>'[1]ÜDM sahələr üzrə'!AG95</f>
        <v>42.960842981657343</v>
      </c>
      <c r="N71" s="5">
        <f>'[1]ÜDM sahələr üzrə'!AH95</f>
        <v>42.297154899894622</v>
      </c>
      <c r="O71" s="5">
        <f>'[1]ÜDM sahələr üzrə'!AI95</f>
        <v>42.300842930072427</v>
      </c>
      <c r="P71" s="59">
        <f>'[1]ÜDM sahələr üzrə'!AJ95</f>
        <v>42.300842930072427</v>
      </c>
      <c r="Q71" s="5">
        <f>'[1]ÜDM sahələr üzrə'!AK95</f>
        <v>42.300842930072427</v>
      </c>
      <c r="R71" s="5">
        <f>'[1]ÜDM sahələr üzrə'!AL95</f>
        <v>42.300842930072427</v>
      </c>
      <c r="S71" s="5">
        <f>'[1]ÜDM sahələr üzrə'!AM95</f>
        <v>42.300842930072427</v>
      </c>
      <c r="T71" s="6">
        <f>'[1]ÜDM sahələr üzrə'!AN95</f>
        <v>42.300842930072427</v>
      </c>
      <c r="U71" s="6">
        <f>'[1]ÜDM sahələr üzrə'!AO95</f>
        <v>42.300842930072427</v>
      </c>
    </row>
    <row r="72" spans="1:21" customFormat="1" ht="14" hidden="1">
      <c r="A72" s="70"/>
      <c r="B72" s="4" t="s">
        <v>16</v>
      </c>
      <c r="C72" s="153" t="s">
        <v>6</v>
      </c>
      <c r="D72" s="59">
        <v>-34.4</v>
      </c>
      <c r="E72" s="5">
        <v>78.745000000000005</v>
      </c>
      <c r="F72" s="5">
        <v>1.04</v>
      </c>
      <c r="G72" s="5">
        <v>-8.15</v>
      </c>
      <c r="H72" s="59">
        <v>7.9</v>
      </c>
      <c r="I72" s="59">
        <f>'[1]ÜDM sahələr üzrə'!AC96</f>
        <v>19.600000000000001</v>
      </c>
      <c r="J72" s="5">
        <f>'[1]ÜDM sahələr üzrə'!AD96</f>
        <v>237.3</v>
      </c>
      <c r="K72" s="6">
        <f>'[1]ÜDM sahələr üzrə'!AE96</f>
        <v>82.7</v>
      </c>
      <c r="L72" s="5">
        <f>'[1]ÜDM sahələr üzrə'!AF96</f>
        <v>50.6</v>
      </c>
      <c r="M72" s="5">
        <f>'[1]ÜDM sahələr üzrə'!AG96</f>
        <v>-1.48</v>
      </c>
      <c r="N72" s="5">
        <f>'[1]ÜDM sahələr üzrə'!AH96</f>
        <v>15.9</v>
      </c>
      <c r="O72" s="5">
        <f>'[1]ÜDM sahələr üzrə'!AI96</f>
        <v>4.0999999999999996</v>
      </c>
      <c r="P72" s="59">
        <f>'[1]ÜDM sahələr üzrə'!AJ96</f>
        <v>5.6708311081472402</v>
      </c>
      <c r="Q72" s="5">
        <f>'[1]ÜDM sahələr üzrə'!AK96</f>
        <v>5.3731663744961224</v>
      </c>
      <c r="R72" s="5">
        <f>'[1]ÜDM sahələr üzrə'!AL96</f>
        <v>3.6509723908233411</v>
      </c>
      <c r="S72" s="5">
        <f>'[1]ÜDM sahələr üzrə'!AM96</f>
        <v>3.6786180265620487</v>
      </c>
      <c r="T72" s="6">
        <f>'[1]ÜDM sahələr üzrə'!AN96</f>
        <v>3.3974129883022783</v>
      </c>
      <c r="U72" s="6">
        <f>'[1]ÜDM sahələr üzrə'!AO96</f>
        <v>-3.1501631941561783</v>
      </c>
    </row>
    <row r="73" spans="1:21" customFormat="1" ht="14" hidden="1">
      <c r="A73" s="71"/>
      <c r="B73" s="9" t="s">
        <v>56</v>
      </c>
      <c r="C73" s="154" t="s">
        <v>6</v>
      </c>
      <c r="D73" s="60">
        <v>28.249722838137444</v>
      </c>
      <c r="E73" s="10">
        <v>6.547254589258884</v>
      </c>
      <c r="F73" s="10">
        <v>11.886030671091575</v>
      </c>
      <c r="G73" s="10">
        <v>64.568356223810611</v>
      </c>
      <c r="H73" s="60">
        <v>-12.299999999999997</v>
      </c>
      <c r="I73" s="59">
        <f>'[1]ÜDM sahələr üzrə'!AC97</f>
        <v>22.591841109228611</v>
      </c>
      <c r="J73" s="10">
        <f>'[1]ÜDM sahələr üzrə'!AD97</f>
        <v>29.25823419866461</v>
      </c>
      <c r="K73" s="11">
        <f>'[1]ÜDM sahələr üzrə'!AE97</f>
        <v>15.919045205946873</v>
      </c>
      <c r="L73" s="10">
        <f>'[1]ÜDM sahələr üzrə'!AF97</f>
        <v>16.740129839483387</v>
      </c>
      <c r="M73" s="10">
        <f>'[1]ÜDM sahələr üzrə'!AG97</f>
        <v>23.644771088689524</v>
      </c>
      <c r="N73" s="10">
        <f>'[1]ÜDM sahələr üzrə'!AH97</f>
        <v>4.8731364247446436</v>
      </c>
      <c r="O73" s="10">
        <f>'[1]ÜDM sahələr üzrə'!AI97</f>
        <v>-14.731676404438431</v>
      </c>
      <c r="P73" s="60">
        <f>'[1]ÜDM sahələr üzrə'!AJ97</f>
        <v>0.70408560473357795</v>
      </c>
      <c r="Q73" s="10">
        <f>'[1]ÜDM sahələr üzrə'!AK97</f>
        <v>5.8948164353307391</v>
      </c>
      <c r="R73" s="10">
        <f>'[1]ÜDM sahələr üzrə'!AL97</f>
        <v>5.0653075085368897</v>
      </c>
      <c r="S73" s="10">
        <f>'[1]ÜDM sahələr üzrə'!AM97</f>
        <v>5.6350735966614849</v>
      </c>
      <c r="T73" s="11">
        <f>'[1]ÜDM sahələr üzrə'!AN97</f>
        <v>5.9847276485554062</v>
      </c>
      <c r="U73" s="11">
        <f>'[1]ÜDM sahələr üzrə'!AO97</f>
        <v>6.1096508988733689</v>
      </c>
    </row>
    <row r="74" spans="1:21" customFormat="1" ht="14" hidden="1">
      <c r="A74" s="69" t="s">
        <v>86</v>
      </c>
      <c r="B74" s="26" t="s">
        <v>87</v>
      </c>
      <c r="C74" s="164"/>
      <c r="D74" s="40"/>
      <c r="E74" s="18"/>
      <c r="F74" s="18"/>
      <c r="G74" s="18"/>
      <c r="H74" s="40"/>
      <c r="I74" s="94"/>
      <c r="J74" s="18"/>
      <c r="K74" s="19"/>
      <c r="L74" s="18"/>
      <c r="M74" s="18"/>
      <c r="N74" s="18"/>
      <c r="O74" s="18"/>
      <c r="P74" s="40"/>
      <c r="Q74" s="18"/>
      <c r="R74" s="18"/>
      <c r="S74" s="18"/>
      <c r="T74" s="19"/>
      <c r="U74" s="19"/>
    </row>
    <row r="75" spans="1:21" customFormat="1" ht="14" hidden="1">
      <c r="A75" s="70" t="s">
        <v>67</v>
      </c>
      <c r="B75" s="4" t="s">
        <v>68</v>
      </c>
      <c r="C75" s="153" t="s">
        <v>12</v>
      </c>
      <c r="D75" s="59">
        <v>51.2</v>
      </c>
      <c r="E75" s="5">
        <v>48.7</v>
      </c>
      <c r="F75" s="5">
        <v>29.6</v>
      </c>
      <c r="G75" s="5">
        <v>92.54</v>
      </c>
      <c r="H75" s="59">
        <v>181.8</v>
      </c>
      <c r="I75" s="59">
        <f>'[1]ÜDM sahələr üzrə'!AC99</f>
        <v>249.6</v>
      </c>
      <c r="J75" s="5">
        <f>'[1]ÜDM sahələr üzrə'!AD99</f>
        <v>305.2</v>
      </c>
      <c r="K75" s="6">
        <f>'[1]ÜDM sahələr üzrə'!AE99</f>
        <v>240.8</v>
      </c>
      <c r="L75" s="5">
        <f>'[1]ÜDM sahələr üzrə'!AF99</f>
        <v>369.3</v>
      </c>
      <c r="M75" s="5">
        <f>'[1]ÜDM sahələr üzrə'!AG99</f>
        <v>387.97</v>
      </c>
      <c r="N75" s="5">
        <f>'[1]ÜDM sahələr üzrə'!AH99</f>
        <v>370.2</v>
      </c>
      <c r="O75" s="5">
        <f>'[1]ÜDM sahələr üzrə'!AI99</f>
        <v>355.4</v>
      </c>
      <c r="P75" s="59">
        <f>'[1]ÜDM sahələr üzrə'!AJ99</f>
        <v>333.91600487784933</v>
      </c>
      <c r="Q75" s="5">
        <f>'[1]ÜDM sahələr üzrə'!AK99</f>
        <v>368.30065719096018</v>
      </c>
      <c r="R75" s="5">
        <f>'[1]ÜDM sahələr üzrə'!AL99</f>
        <v>394.38690038694551</v>
      </c>
      <c r="S75" s="5">
        <f>'[1]ÜDM sahələr üzrə'!AM99</f>
        <v>412.08321704322373</v>
      </c>
      <c r="T75" s="6">
        <f>'[1]ÜDM sahələr üzrə'!AN99</f>
        <v>431.69282374598805</v>
      </c>
      <c r="U75" s="6">
        <f>'[1]ÜDM sahələr üzrə'!AO99</f>
        <v>467.20983843828242</v>
      </c>
    </row>
    <row r="76" spans="1:21" customFormat="1" ht="14" hidden="1">
      <c r="A76" s="70" t="s">
        <v>69</v>
      </c>
      <c r="B76" s="4" t="s">
        <v>70</v>
      </c>
      <c r="C76" s="153" t="s">
        <v>12</v>
      </c>
      <c r="D76" s="59">
        <v>27.700000000000003</v>
      </c>
      <c r="E76" s="5">
        <v>26.500000000000004</v>
      </c>
      <c r="F76" s="5">
        <v>16.100000000000001</v>
      </c>
      <c r="G76" s="5">
        <v>50.560000000000009</v>
      </c>
      <c r="H76" s="59">
        <v>99.100000000000009</v>
      </c>
      <c r="I76" s="59">
        <f>'[1]ÜDM sahələr üzrə'!AC100</f>
        <v>135.55099999999999</v>
      </c>
      <c r="J76" s="5">
        <f>'[1]ÜDM sahələr üzrə'!AD100</f>
        <v>166.7</v>
      </c>
      <c r="K76" s="6">
        <f>'[1]ÜDM sahələr üzrə'!AE100</f>
        <v>125.48000000000002</v>
      </c>
      <c r="L76" s="5">
        <f>'[1]ÜDM sahələr üzrə'!AF100</f>
        <v>208.9</v>
      </c>
      <c r="M76" s="5">
        <f>'[1]ÜDM sahələr üzrə'!AG100</f>
        <v>210.67000000000002</v>
      </c>
      <c r="N76" s="5">
        <f>'[1]ÜDM sahələr üzrə'!AH100</f>
        <v>195.5</v>
      </c>
      <c r="O76" s="5">
        <f>'[1]ÜDM sahələr üzrə'!AI100</f>
        <v>187.7</v>
      </c>
      <c r="P76" s="59">
        <f>'[1]ÜDM sahələr üzrə'!AJ100</f>
        <v>176.35350060656253</v>
      </c>
      <c r="Q76" s="5">
        <f>'[1]ÜDM sahələr üzrə'!AK100</f>
        <v>194.51331838700963</v>
      </c>
      <c r="R76" s="5">
        <f>'[1]ÜDM sahələr üzrə'!AL100</f>
        <v>208.29043669845154</v>
      </c>
      <c r="S76" s="5">
        <f>'[1]ÜDM sahələr üzrə'!AM100</f>
        <v>217.63652177550111</v>
      </c>
      <c r="T76" s="6">
        <f>'[1]ÜDM sahələr üzrə'!AN100</f>
        <v>227.99308671109162</v>
      </c>
      <c r="U76" s="6">
        <f>'[1]ÜDM sahələr üzrə'!AO100</f>
        <v>246.75094731250874</v>
      </c>
    </row>
    <row r="77" spans="1:21" customFormat="1" ht="14" hidden="1">
      <c r="A77" s="70" t="s">
        <v>71</v>
      </c>
      <c r="B77" s="4" t="s">
        <v>72</v>
      </c>
      <c r="C77" s="153" t="s">
        <v>12</v>
      </c>
      <c r="D77" s="59">
        <v>23.5</v>
      </c>
      <c r="E77" s="5">
        <v>22.2</v>
      </c>
      <c r="F77" s="5">
        <v>13.5</v>
      </c>
      <c r="G77" s="5">
        <v>41.98</v>
      </c>
      <c r="H77" s="59">
        <v>82.7</v>
      </c>
      <c r="I77" s="59">
        <f>'[1]ÜDM sahələr üzrə'!AC101</f>
        <v>114.04900000000001</v>
      </c>
      <c r="J77" s="5">
        <f>'[1]ÜDM sahələr üzrə'!AD101</f>
        <v>138.5</v>
      </c>
      <c r="K77" s="6">
        <f>'[1]ÜDM sahələr üzrə'!AE101</f>
        <v>115.32</v>
      </c>
      <c r="L77" s="5">
        <f>'[1]ÜDM sahələr üzrə'!AF101</f>
        <v>160.4</v>
      </c>
      <c r="M77" s="5">
        <f>'[1]ÜDM sahələr üzrə'!AG101</f>
        <v>177.3</v>
      </c>
      <c r="N77" s="5">
        <f>'[1]ÜDM sahələr üzrə'!AH101</f>
        <v>174.7</v>
      </c>
      <c r="O77" s="5">
        <f>'[1]ÜDM sahələr üzrə'!AI101</f>
        <v>167.7</v>
      </c>
      <c r="P77" s="59">
        <f>'[1]ÜDM sahələr üzrə'!AJ101</f>
        <v>157.5625042712868</v>
      </c>
      <c r="Q77" s="5">
        <f>'[1]ÜDM sahələr üzrə'!AK101</f>
        <v>173.78733880395055</v>
      </c>
      <c r="R77" s="5">
        <f>'[1]ÜDM sahələr üzrə'!AL101</f>
        <v>186.09646368849397</v>
      </c>
      <c r="S77" s="5">
        <f>'[1]ÜDM sahələr üzrə'!AM101</f>
        <v>194.44669526772262</v>
      </c>
      <c r="T77" s="6">
        <f>'[1]ÜDM sahələr üzrə'!AN101</f>
        <v>203.69973703489643</v>
      </c>
      <c r="U77" s="6">
        <f>'[1]ÜDM sahələr üzrə'!AO101</f>
        <v>220.45889112577368</v>
      </c>
    </row>
    <row r="78" spans="1:21" customFormat="1" ht="14" hidden="1">
      <c r="A78" s="70"/>
      <c r="B78" s="4" t="s">
        <v>73</v>
      </c>
      <c r="C78" s="153" t="s">
        <v>6</v>
      </c>
      <c r="D78" s="59">
        <v>45.8984375</v>
      </c>
      <c r="E78" s="5">
        <v>45.585215605749482</v>
      </c>
      <c r="F78" s="5">
        <v>45.608108108108105</v>
      </c>
      <c r="G78" s="5">
        <v>45.36416684676896</v>
      </c>
      <c r="H78" s="59">
        <v>45.48954895489549</v>
      </c>
      <c r="I78" s="59">
        <f>'[1]ÜDM sahələr üzrə'!AC102</f>
        <v>45.692708333333336</v>
      </c>
      <c r="J78" s="5">
        <f>'[1]ÜDM sahələr üzrə'!AD102</f>
        <v>45.380078636959368</v>
      </c>
      <c r="K78" s="6">
        <f>'[1]ÜDM sahələr üzrə'!AE102</f>
        <v>47.89036544850498</v>
      </c>
      <c r="L78" s="5">
        <f>'[1]ÜDM sahələr üzrə'!AF102</f>
        <v>43.433522881126457</v>
      </c>
      <c r="M78" s="5">
        <f>'[1]ÜDM sahələr üzrə'!AG102</f>
        <v>45.699409748176407</v>
      </c>
      <c r="N78" s="5">
        <f>'[1]ÜDM sahələr üzrə'!AH102</f>
        <v>47.190707725553757</v>
      </c>
      <c r="O78" s="5">
        <f>'[1]ÜDM sahələr üzrə'!AI102</f>
        <v>47.186268992684298</v>
      </c>
      <c r="P78" s="59">
        <f>'[1]ÜDM sahələr üzrə'!AJ102</f>
        <v>47.186268992684298</v>
      </c>
      <c r="Q78" s="5">
        <f>'[1]ÜDM sahələr üzrə'!AK102</f>
        <v>47.186268992684298</v>
      </c>
      <c r="R78" s="5">
        <f>'[1]ÜDM sahələr üzrə'!AL102</f>
        <v>47.186268992684298</v>
      </c>
      <c r="S78" s="5">
        <f>'[1]ÜDM sahələr üzrə'!AM102</f>
        <v>47.186268992684298</v>
      </c>
      <c r="T78" s="6">
        <f>'[1]ÜDM sahələr üzrə'!AN102</f>
        <v>47.186268992684298</v>
      </c>
      <c r="U78" s="6">
        <f>'[1]ÜDM sahələr üzrə'!AO102</f>
        <v>47.186268992684298</v>
      </c>
    </row>
    <row r="79" spans="1:21" customFormat="1" ht="14" hidden="1">
      <c r="A79" s="70"/>
      <c r="B79" s="4" t="s">
        <v>16</v>
      </c>
      <c r="C79" s="153" t="s">
        <v>6</v>
      </c>
      <c r="D79" s="59">
        <v>-16.899999999999999</v>
      </c>
      <c r="E79" s="5">
        <v>-2.5999999999999943</v>
      </c>
      <c r="F79" s="5">
        <v>-36.9</v>
      </c>
      <c r="G79" s="5">
        <v>176.3</v>
      </c>
      <c r="H79" s="59">
        <v>39.85</v>
      </c>
      <c r="I79" s="59">
        <f>'[1]ÜDM sahələr üzrə'!AC103</f>
        <v>30.5</v>
      </c>
      <c r="J79" s="5">
        <f>'[1]ÜDM sahələr üzrə'!AD103</f>
        <v>33.200000000000003</v>
      </c>
      <c r="K79" s="6">
        <f>'[1]ÜDM sahələr üzrə'!AE103</f>
        <v>-15.3</v>
      </c>
      <c r="L79" s="5">
        <f>'[1]ÜDM sahələr üzrə'!AF103</f>
        <v>27.2</v>
      </c>
      <c r="M79" s="5">
        <f>'[1]ÜDM sahələr üzrə'!AG103</f>
        <v>-14.62</v>
      </c>
      <c r="N79" s="5">
        <f>'[1]ÜDM sahələr üzrə'!AH103</f>
        <v>10.43</v>
      </c>
      <c r="O79" s="5">
        <f>'[1]ÜDM sahələr üzrə'!AI103</f>
        <v>-8.7100000000000009</v>
      </c>
      <c r="P79" s="59">
        <f>'[1]ÜDM sahələr üzrə'!AJ103</f>
        <v>4.7358289994062375</v>
      </c>
      <c r="Q79" s="5">
        <f>'[1]ÜDM sahələr üzrə'!AK103</f>
        <v>6.1604580353768199</v>
      </c>
      <c r="R79" s="5">
        <f>'[1]ÜDM sahələr üzrə'!AL103</f>
        <v>6.857924551248999</v>
      </c>
      <c r="S79" s="5">
        <f>'[1]ÜDM sahələr üzrə'!AM103</f>
        <v>5.2688082021787039</v>
      </c>
      <c r="T79" s="6">
        <f>'[1]ÜDM sahələr üzrə'!AN103</f>
        <v>4.758652109995424</v>
      </c>
      <c r="U79" s="6">
        <f>'[1]ÜDM sahələr üzrə'!AO103</f>
        <v>8.2273813087967369</v>
      </c>
    </row>
    <row r="80" spans="1:21" customFormat="1" ht="14" hidden="1">
      <c r="A80" s="71"/>
      <c r="B80" s="9" t="s">
        <v>56</v>
      </c>
      <c r="C80" s="154" t="s">
        <v>6</v>
      </c>
      <c r="D80" s="60">
        <v>-3.8123071129775497</v>
      </c>
      <c r="E80" s="10">
        <v>-3.3</v>
      </c>
      <c r="F80" s="10">
        <v>-3.7278751017261329</v>
      </c>
      <c r="G80" s="10">
        <v>12.545408238495455</v>
      </c>
      <c r="H80" s="60">
        <v>40.864190738630839</v>
      </c>
      <c r="I80" s="59">
        <f>'[1]ÜDM sahələr üzrə'!AC104</f>
        <v>5.6246914815092737</v>
      </c>
      <c r="J80" s="10">
        <f>'[1]ÜDM sahələr üzrə'!AD104</f>
        <v>-8.8295566125270852</v>
      </c>
      <c r="K80" s="11">
        <f>'[1]ÜDM sahələr üzrə'!AE104</f>
        <v>-1.6959410789407485</v>
      </c>
      <c r="L80" s="10">
        <f>'[1]ÜDM sahələr üzrə'!AF104</f>
        <v>9.3484468702893082</v>
      </c>
      <c r="M80" s="10">
        <f>'[1]ÜDM sahələr üzrə'!AG104</f>
        <v>29.463761537827963</v>
      </c>
      <c r="N80" s="10">
        <f>'[1]ÜDM sahələr üzrə'!AH104</f>
        <v>-10.772834429366753</v>
      </c>
      <c r="O80" s="10">
        <f>'[1]ÜDM sahələr üzrə'!AI104</f>
        <v>5.1518579054163638</v>
      </c>
      <c r="P80" s="60">
        <f>'[1]ÜDM sahələr üzrə'!AJ104</f>
        <v>-10.29337087988182</v>
      </c>
      <c r="Q80" s="10">
        <f>'[1]ÜDM sahələr üzrə'!AK104</f>
        <v>3.8968724671615291</v>
      </c>
      <c r="R80" s="10">
        <f>'[1]ÜDM sahələr üzrə'!AL104</f>
        <v>0.21050546075930754</v>
      </c>
      <c r="S80" s="10">
        <f>'[1]ÜDM sahələr üzrə'!AM104</f>
        <v>-0.74263542902332347</v>
      </c>
      <c r="T80" s="11">
        <f>'[1]ÜDM sahələr üzrə'!AN104</f>
        <v>0</v>
      </c>
      <c r="U80" s="11">
        <f>'[1]ÜDM sahələr üzrə'!AO104</f>
        <v>0</v>
      </c>
    </row>
    <row r="81" spans="1:21" customFormat="1" ht="14" hidden="1">
      <c r="A81" s="69" t="s">
        <v>88</v>
      </c>
      <c r="B81" s="26" t="s">
        <v>89</v>
      </c>
      <c r="C81" s="164"/>
      <c r="D81" s="40"/>
      <c r="E81" s="18"/>
      <c r="F81" s="18"/>
      <c r="G81" s="18"/>
      <c r="H81" s="40"/>
      <c r="I81" s="94"/>
      <c r="J81" s="18"/>
      <c r="K81" s="19"/>
      <c r="L81" s="18"/>
      <c r="M81" s="18"/>
      <c r="N81" s="18"/>
      <c r="O81" s="18"/>
      <c r="P81" s="40"/>
      <c r="Q81" s="18"/>
      <c r="R81" s="18"/>
      <c r="S81" s="18"/>
      <c r="T81" s="19"/>
      <c r="U81" s="19"/>
    </row>
    <row r="82" spans="1:21" customFormat="1" ht="14" hidden="1">
      <c r="A82" s="70" t="s">
        <v>67</v>
      </c>
      <c r="B82" s="4" t="s">
        <v>68</v>
      </c>
      <c r="C82" s="153" t="s">
        <v>12</v>
      </c>
      <c r="D82" s="59">
        <v>40</v>
      </c>
      <c r="E82" s="5">
        <v>54.5</v>
      </c>
      <c r="F82" s="5">
        <v>52.6</v>
      </c>
      <c r="G82" s="5">
        <v>88.381757931930949</v>
      </c>
      <c r="H82" s="59">
        <v>104</v>
      </c>
      <c r="I82" s="59">
        <f>'[1]ÜDM sahələr üzrə'!AC106</f>
        <v>103.7</v>
      </c>
      <c r="J82" s="5">
        <f>'[1]ÜDM sahələr üzrə'!AD106</f>
        <v>111.7</v>
      </c>
      <c r="K82" s="6">
        <f>'[1]ÜDM sahələr üzrə'!AE106</f>
        <v>112.7</v>
      </c>
      <c r="L82" s="5">
        <f>'[1]ÜDM sahələr üzrə'!AF106</f>
        <v>130.1</v>
      </c>
      <c r="M82" s="5">
        <f>'[1]ÜDM sahələr üzrə'!AG106</f>
        <v>162.30000000000001</v>
      </c>
      <c r="N82" s="5">
        <f>'[1]ÜDM sahələr üzrə'!AH106</f>
        <v>125</v>
      </c>
      <c r="O82" s="5">
        <f>'[1]ÜDM sahələr üzrə'!AI106</f>
        <v>152.4</v>
      </c>
      <c r="P82" s="59">
        <f>'[1]ÜDM sahələr üzrə'!AJ106</f>
        <v>154.78691527418263</v>
      </c>
      <c r="Q82" s="5">
        <f>'[1]ÜDM sahələr üzrə'!AK106</f>
        <v>180.73954924600756</v>
      </c>
      <c r="R82" s="5">
        <f>'[1]ÜDM sahələr üzrə'!AL106</f>
        <v>199.18671192872409</v>
      </c>
      <c r="S82" s="5">
        <f>'[1]ÜDM sahələr üzrə'!AM106</f>
        <v>218.01356331412634</v>
      </c>
      <c r="T82" s="6">
        <f>'[1]ÜDM sahələr üzrə'!AN106</f>
        <v>237.946440754245</v>
      </c>
      <c r="U82" s="6">
        <f>'[1]ÜDM sahələr üzrə'!AO106</f>
        <v>261.93179528016594</v>
      </c>
    </row>
    <row r="83" spans="1:21" customFormat="1" ht="14" hidden="1">
      <c r="A83" s="70" t="s">
        <v>69</v>
      </c>
      <c r="B83" s="4" t="s">
        <v>70</v>
      </c>
      <c r="C83" s="153" t="s">
        <v>12</v>
      </c>
      <c r="D83" s="59">
        <v>32.5</v>
      </c>
      <c r="E83" s="5">
        <v>44.1</v>
      </c>
      <c r="F83" s="5">
        <v>42.64</v>
      </c>
      <c r="G83" s="5">
        <v>71.677605682795999</v>
      </c>
      <c r="H83" s="59">
        <v>84.69</v>
      </c>
      <c r="I83" s="59">
        <f>'[1]ÜDM sahələr üzrə'!AC107</f>
        <v>84.300000000000011</v>
      </c>
      <c r="J83" s="5">
        <f>'[1]ÜDM sahələr üzrə'!AD107</f>
        <v>90.72</v>
      </c>
      <c r="K83" s="6">
        <f>'[1]ÜDM sahələr üzrə'!AE107</f>
        <v>88.62</v>
      </c>
      <c r="L83" s="5">
        <f>'[1]ÜDM sahələr üzrə'!AF107</f>
        <v>101.69</v>
      </c>
      <c r="M83" s="5">
        <f>'[1]ÜDM sahələr üzrə'!AG107</f>
        <v>124.81</v>
      </c>
      <c r="N83" s="5">
        <f>'[1]ÜDM sahələr üzrə'!AH107</f>
        <v>93.4</v>
      </c>
      <c r="O83" s="5">
        <f>'[1]ÜDM sahələr üzrə'!AI107</f>
        <v>113.84</v>
      </c>
      <c r="P83" s="59">
        <f>'[1]ÜDM sahələr üzrə'!AJ107</f>
        <v>115.62298185572803</v>
      </c>
      <c r="Q83" s="5">
        <f>'[1]ÜDM sahələr üzrə'!AK107</f>
        <v>135.00912261263451</v>
      </c>
      <c r="R83" s="5">
        <f>'[1]ÜDM sahələr üzrə'!AL107</f>
        <v>148.788814212375</v>
      </c>
      <c r="S83" s="5">
        <f>'[1]ÜDM sahələr üzrə'!AM107</f>
        <v>162.85212629711378</v>
      </c>
      <c r="T83" s="6">
        <f>'[1]ÜDM sahələr üzrə'!AN107</f>
        <v>177.74161952403708</v>
      </c>
      <c r="U83" s="6">
        <f>'[1]ÜDM sahələr üzrə'!AO107</f>
        <v>195.65823867909506</v>
      </c>
    </row>
    <row r="84" spans="1:21" customFormat="1" ht="14" hidden="1">
      <c r="A84" s="70" t="s">
        <v>71</v>
      </c>
      <c r="B84" s="4" t="s">
        <v>72</v>
      </c>
      <c r="C84" s="153" t="s">
        <v>12</v>
      </c>
      <c r="D84" s="59">
        <v>7.5</v>
      </c>
      <c r="E84" s="5">
        <v>10.4</v>
      </c>
      <c r="F84" s="5">
        <v>9.9600000000000009</v>
      </c>
      <c r="G84" s="5">
        <v>16.70415224913495</v>
      </c>
      <c r="H84" s="59">
        <v>19.309999999999999</v>
      </c>
      <c r="I84" s="59">
        <f>'[1]ÜDM sahələr üzrə'!AC108</f>
        <v>19.399999999999999</v>
      </c>
      <c r="J84" s="5">
        <f>'[1]ÜDM sahələr üzrə'!AD108</f>
        <v>20.98</v>
      </c>
      <c r="K84" s="6">
        <f>'[1]ÜDM sahələr üzrə'!AE108</f>
        <v>24.08</v>
      </c>
      <c r="L84" s="5">
        <f>'[1]ÜDM sahələr üzrə'!AF108</f>
        <v>28.41</v>
      </c>
      <c r="M84" s="5">
        <f>'[1]ÜDM sahələr üzrə'!AG108</f>
        <v>37.49</v>
      </c>
      <c r="N84" s="5">
        <f>'[1]ÜDM sahələr üzrə'!AH108</f>
        <v>31.6</v>
      </c>
      <c r="O84" s="5">
        <f>'[1]ÜDM sahələr üzrə'!AI108</f>
        <v>38.56</v>
      </c>
      <c r="P84" s="59">
        <f>'[1]ÜDM sahələr üzrə'!AJ108</f>
        <v>39.163933418454612</v>
      </c>
      <c r="Q84" s="5">
        <f>'[1]ÜDM sahələr üzrə'!AK108</f>
        <v>45.73042663337305</v>
      </c>
      <c r="R84" s="5">
        <f>'[1]ÜDM sahələr üzrə'!AL108</f>
        <v>50.397897716349092</v>
      </c>
      <c r="S84" s="5">
        <f>'[1]ÜDM sahələr üzrə'!AM108</f>
        <v>55.161437017012545</v>
      </c>
      <c r="T84" s="6">
        <f>'[1]ÜDM sahələr üzrə'!AN108</f>
        <v>60.204821230207926</v>
      </c>
      <c r="U84" s="6">
        <f>'[1]ÜDM sahələr üzrə'!AO108</f>
        <v>66.273556601070865</v>
      </c>
    </row>
    <row r="85" spans="1:21" customFormat="1" ht="14" hidden="1">
      <c r="A85" s="70"/>
      <c r="B85" s="4" t="s">
        <v>73</v>
      </c>
      <c r="C85" s="153" t="s">
        <v>6</v>
      </c>
      <c r="D85" s="59">
        <v>18.75</v>
      </c>
      <c r="E85" s="5">
        <v>19.082568807339449</v>
      </c>
      <c r="F85" s="5">
        <v>18.93536121673004</v>
      </c>
      <c r="G85" s="5">
        <v>18.899999999999999</v>
      </c>
      <c r="H85" s="59">
        <v>18.56730769230769</v>
      </c>
      <c r="I85" s="59">
        <f>'[1]ÜDM sahələr üzrə'!AC109</f>
        <v>18.707810993249758</v>
      </c>
      <c r="J85" s="5">
        <f>'[1]ÜDM sahələr üzrə'!AD109</f>
        <v>18.782452999104745</v>
      </c>
      <c r="K85" s="6">
        <f>'[1]ÜDM sahələr üzrə'!AE109</f>
        <v>21.366459627329188</v>
      </c>
      <c r="L85" s="5">
        <f>'[1]ÜDM sahələr üzrə'!AF109</f>
        <v>21.837048424289009</v>
      </c>
      <c r="M85" s="5">
        <f>'[1]ÜDM sahələr üzrə'!AG109</f>
        <v>23.099199014171287</v>
      </c>
      <c r="N85" s="5">
        <f>'[1]ÜDM sahələr üzrə'!AH109</f>
        <v>25.28</v>
      </c>
      <c r="O85" s="5">
        <f>'[1]ÜDM sahələr üzrə'!AI109</f>
        <v>25.30183727034121</v>
      </c>
      <c r="P85" s="59">
        <f>'[1]ÜDM sahələr üzrə'!AJ109</f>
        <v>25.30183727034121</v>
      </c>
      <c r="Q85" s="5">
        <f>'[1]ÜDM sahələr üzrə'!AK109</f>
        <v>25.30183727034121</v>
      </c>
      <c r="R85" s="5">
        <f>'[1]ÜDM sahələr üzrə'!AL109</f>
        <v>25.30183727034121</v>
      </c>
      <c r="S85" s="5">
        <f>'[1]ÜDM sahələr üzrə'!AM109</f>
        <v>25.30183727034121</v>
      </c>
      <c r="T85" s="6">
        <f>'[1]ÜDM sahələr üzrə'!AN109</f>
        <v>25.30183727034121</v>
      </c>
      <c r="U85" s="6">
        <f>'[1]ÜDM sahələr üzrə'!AO109</f>
        <v>25.30183727034121</v>
      </c>
    </row>
    <row r="86" spans="1:21" customFormat="1" ht="14" hidden="1">
      <c r="A86" s="70"/>
      <c r="B86" s="4" t="s">
        <v>16</v>
      </c>
      <c r="C86" s="153" t="s">
        <v>6</v>
      </c>
      <c r="D86" s="59">
        <v>1.9</v>
      </c>
      <c r="E86" s="5">
        <v>32.700000000000003</v>
      </c>
      <c r="F86" s="5">
        <v>-7.5</v>
      </c>
      <c r="G86" s="5">
        <v>7.1</v>
      </c>
      <c r="H86" s="59">
        <v>0</v>
      </c>
      <c r="I86" s="59">
        <f>'[1]ÜDM sahələr üzrə'!AC110</f>
        <v>-1.7</v>
      </c>
      <c r="J86" s="5">
        <f>'[1]ÜDM sahələr üzrə'!AD110</f>
        <v>22.6</v>
      </c>
      <c r="K86" s="6">
        <f>'[1]ÜDM sahələr üzrə'!AE110</f>
        <v>0.24</v>
      </c>
      <c r="L86" s="5">
        <f>'[1]ÜDM sahələr üzrə'!AF110</f>
        <v>10.3</v>
      </c>
      <c r="M86" s="5">
        <f>'[1]ÜDM sahələr üzrə'!AG110</f>
        <v>12.74</v>
      </c>
      <c r="N86" s="5">
        <f>'[1]ÜDM sahələr üzrə'!AH110</f>
        <v>-29.1</v>
      </c>
      <c r="O86" s="5">
        <f>'[1]ÜDM sahələr üzrə'!AI110</f>
        <v>21.73</v>
      </c>
      <c r="P86" s="59">
        <f>'[1]ÜDM sahələr üzrə'!AJ110</f>
        <v>8.4062619200490047</v>
      </c>
      <c r="Q86" s="5">
        <f>'[1]ÜDM sahələr üzrə'!AK110</f>
        <v>7.188310480991106</v>
      </c>
      <c r="R86" s="5">
        <f>'[1]ÜDM sahələr üzrə'!AL110</f>
        <v>8.0799051018787935</v>
      </c>
      <c r="S86" s="5">
        <f>'[1]ÜDM sahələr üzrə'!AM110</f>
        <v>6.9790602796574461</v>
      </c>
      <c r="T86" s="6">
        <f>'[1]ÜDM sahələr üzrə'!AN110</f>
        <v>6.1444151365020332</v>
      </c>
      <c r="U86" s="6">
        <f>'[1]ÜDM sahələr üzrə'!AO110</f>
        <v>6.7659812232895717</v>
      </c>
    </row>
    <row r="87" spans="1:21" customFormat="1" ht="14" hidden="1">
      <c r="A87" s="71"/>
      <c r="B87" s="9" t="s">
        <v>56</v>
      </c>
      <c r="C87" s="154" t="s">
        <v>6</v>
      </c>
      <c r="D87" s="60">
        <v>29.125561696193387</v>
      </c>
      <c r="E87" s="10">
        <v>4.8</v>
      </c>
      <c r="F87" s="10">
        <v>4.3</v>
      </c>
      <c r="G87" s="10">
        <v>56.594184854590623</v>
      </c>
      <c r="H87" s="60">
        <v>15.599999999999994</v>
      </c>
      <c r="I87" s="59">
        <f>'[1]ÜDM sahələr üzrə'!AC111</f>
        <v>2.2035399302381791</v>
      </c>
      <c r="J87" s="10">
        <f>'[1]ÜDM sahələr üzrə'!AD111</f>
        <v>-11.790921780662941</v>
      </c>
      <c r="K87" s="11">
        <f>'[1]ÜDM sahələr üzrə'!AE111</f>
        <v>14.501174302741092</v>
      </c>
      <c r="L87" s="10">
        <f>'[1]ÜDM sahələr üzrə'!AF111</f>
        <v>6.9643949000461021</v>
      </c>
      <c r="M87" s="10">
        <f>'[1]ÜDM sahələr üzrə'!AG111</f>
        <v>17.048587246343487</v>
      </c>
      <c r="N87" s="10">
        <f>'[1]ÜDM sahələr üzrə'!AH111</f>
        <v>18.884546927605712</v>
      </c>
      <c r="O87" s="10">
        <f>'[1]ÜDM sahələr üzrə'!AI111</f>
        <v>0.24259956928958104</v>
      </c>
      <c r="P87" s="60">
        <f>'[1]ÜDM sahələr üzrə'!AJ111</f>
        <v>-6.3096397084355829</v>
      </c>
      <c r="Q87" s="10">
        <f>'[1]ÜDM sahələr üzrə'!AK111</f>
        <v>8.9360249559075129</v>
      </c>
      <c r="R87" s="10">
        <f>'[1]ÜDM sahələr üzrə'!AL111</f>
        <v>1.9676036505680514</v>
      </c>
      <c r="S87" s="10">
        <f>'[1]ÜDM sahələr üzrə'!AM111</f>
        <v>2.3114811778021789</v>
      </c>
      <c r="T87" s="11">
        <f>'[1]ÜDM sahələr üzrə'!AN111</f>
        <v>2.8249604783462985</v>
      </c>
      <c r="U87" s="11">
        <f>'[1]ÜDM sahələr üzrə'!AO111</f>
        <v>3.1041416157505921</v>
      </c>
    </row>
    <row r="88" spans="1:21" customFormat="1" ht="28" hidden="1">
      <c r="A88" s="69" t="s">
        <v>90</v>
      </c>
      <c r="B88" s="26" t="s">
        <v>91</v>
      </c>
      <c r="C88" s="164"/>
      <c r="D88" s="40"/>
      <c r="E88" s="18"/>
      <c r="F88" s="18"/>
      <c r="G88" s="18"/>
      <c r="H88" s="40"/>
      <c r="I88" s="94"/>
      <c r="J88" s="18"/>
      <c r="K88" s="19"/>
      <c r="L88" s="18"/>
      <c r="M88" s="18"/>
      <c r="N88" s="18"/>
      <c r="O88" s="18"/>
      <c r="P88" s="40"/>
      <c r="Q88" s="18"/>
      <c r="R88" s="18"/>
      <c r="S88" s="18"/>
      <c r="T88" s="19"/>
      <c r="U88" s="19"/>
    </row>
    <row r="89" spans="1:21" customFormat="1" ht="14" hidden="1">
      <c r="A89" s="70" t="s">
        <v>67</v>
      </c>
      <c r="B89" s="4" t="s">
        <v>68</v>
      </c>
      <c r="C89" s="153" t="s">
        <v>12</v>
      </c>
      <c r="D89" s="59">
        <v>21.3</v>
      </c>
      <c r="E89" s="5">
        <v>19.100000000000001</v>
      </c>
      <c r="F89" s="5">
        <v>12.2</v>
      </c>
      <c r="G89" s="5">
        <v>13.7</v>
      </c>
      <c r="H89" s="59">
        <v>17.95</v>
      </c>
      <c r="I89" s="59">
        <f>'[1]ÜDM sahələr üzrə'!AC113</f>
        <v>26.1</v>
      </c>
      <c r="J89" s="5">
        <f>'[1]ÜDM sahələr üzrə'!AD113</f>
        <v>21.8</v>
      </c>
      <c r="K89" s="6">
        <f>'[1]ÜDM sahələr üzrə'!AE113</f>
        <v>25.8</v>
      </c>
      <c r="L89" s="5">
        <f>'[1]ÜDM sahələr üzrə'!AF113</f>
        <v>22.4</v>
      </c>
      <c r="M89" s="5">
        <f>'[1]ÜDM sahələr üzrə'!AG113</f>
        <v>25.3</v>
      </c>
      <c r="N89" s="5">
        <f>'[1]ÜDM sahələr üzrə'!AH113</f>
        <v>24.8</v>
      </c>
      <c r="O89" s="5">
        <f>'[1]ÜDM sahələr üzrə'!AI113</f>
        <v>43.6</v>
      </c>
      <c r="P89" s="59">
        <f>'[1]ÜDM sahələr üzrə'!AJ113</f>
        <v>47.526555766682435</v>
      </c>
      <c r="Q89" s="5">
        <f>'[1]ÜDM sahələr üzrə'!AK113</f>
        <v>52.35679141719546</v>
      </c>
      <c r="R89" s="5">
        <f>'[1]ÜDM sahələr üzrə'!AL113</f>
        <v>56.509099003350713</v>
      </c>
      <c r="S89" s="5">
        <f>'[1]ÜDM sahələr üzrə'!AM113</f>
        <v>61.402147456350967</v>
      </c>
      <c r="T89" s="6">
        <f>'[1]ÜDM sahələr üzrə'!AN113</f>
        <v>66.804647169397683</v>
      </c>
      <c r="U89" s="6">
        <f>'[1]ÜDM sahələr üzrə'!AO113</f>
        <v>73.434651559646156</v>
      </c>
    </row>
    <row r="90" spans="1:21" customFormat="1" ht="14" hidden="1">
      <c r="A90" s="70" t="s">
        <v>69</v>
      </c>
      <c r="B90" s="4" t="s">
        <v>70</v>
      </c>
      <c r="C90" s="153" t="s">
        <v>12</v>
      </c>
      <c r="D90" s="59">
        <v>15.9</v>
      </c>
      <c r="E90" s="5">
        <v>14.100000000000001</v>
      </c>
      <c r="F90" s="5">
        <v>8.9699999999999989</v>
      </c>
      <c r="G90" s="5">
        <v>10.084999999999999</v>
      </c>
      <c r="H90" s="59">
        <v>13.2</v>
      </c>
      <c r="I90" s="59">
        <f>'[1]ÜDM sahələr üzrə'!AC114</f>
        <v>19.200000000000003</v>
      </c>
      <c r="J90" s="5">
        <f>'[1]ÜDM sahələr üzrə'!AD114</f>
        <v>16.03</v>
      </c>
      <c r="K90" s="6">
        <f>'[1]ÜDM sahələr üzrə'!AE114</f>
        <v>19.03</v>
      </c>
      <c r="L90" s="5">
        <f>'[1]ÜDM sahələr üzrə'!AF114</f>
        <v>16.229999999999997</v>
      </c>
      <c r="M90" s="5">
        <f>'[1]ÜDM sahələr üzrə'!AG114</f>
        <v>18.560000000000002</v>
      </c>
      <c r="N90" s="5">
        <f>'[1]ÜDM sahələr üzrə'!AH114</f>
        <v>18.625</v>
      </c>
      <c r="O90" s="5">
        <f>'[1]ÜDM sahələr üzrə'!AI114</f>
        <v>32.650000000000006</v>
      </c>
      <c r="P90" s="59">
        <f>'[1]ÜDM sahələr üzrə'!AJ114</f>
        <v>35.590413894086737</v>
      </c>
      <c r="Q90" s="5">
        <f>'[1]ÜDM sahələr üzrə'!AK114</f>
        <v>39.207551370904397</v>
      </c>
      <c r="R90" s="5">
        <f>'[1]ÜDM sahələr üzrə'!AL114</f>
        <v>42.317020239894518</v>
      </c>
      <c r="S90" s="5">
        <f>'[1]ÜDM sahələr üzrə'!AM114</f>
        <v>45.98119528554723</v>
      </c>
      <c r="T90" s="6">
        <f>'[1]ÜDM sahələr üzrə'!AN114</f>
        <v>50.026874543138405</v>
      </c>
      <c r="U90" s="6">
        <f>'[1]ÜDM sahələr üzrə'!AO114</f>
        <v>54.991774619780898</v>
      </c>
    </row>
    <row r="91" spans="1:21" customFormat="1" ht="14" hidden="1">
      <c r="A91" s="70" t="s">
        <v>71</v>
      </c>
      <c r="B91" s="4" t="s">
        <v>72</v>
      </c>
      <c r="C91" s="153" t="s">
        <v>12</v>
      </c>
      <c r="D91" s="59">
        <v>5.4</v>
      </c>
      <c r="E91" s="5">
        <v>5</v>
      </c>
      <c r="F91" s="5">
        <v>3.23</v>
      </c>
      <c r="G91" s="5">
        <v>3.6150000000000002</v>
      </c>
      <c r="H91" s="59">
        <v>4.75</v>
      </c>
      <c r="I91" s="59">
        <f>'[1]ÜDM sahələr üzrə'!AC115</f>
        <v>6.9</v>
      </c>
      <c r="J91" s="5">
        <f>'[1]ÜDM sahələr üzrə'!AD115</f>
        <v>5.77</v>
      </c>
      <c r="K91" s="6">
        <f>'[1]ÜDM sahələr üzrə'!AE115</f>
        <v>6.77</v>
      </c>
      <c r="L91" s="5">
        <f>'[1]ÜDM sahələr üzrə'!AF115</f>
        <v>6.17</v>
      </c>
      <c r="M91" s="5">
        <f>'[1]ÜDM sahələr üzrə'!AG115</f>
        <v>6.74</v>
      </c>
      <c r="N91" s="5">
        <f>'[1]ÜDM sahələr üzrə'!AH115</f>
        <v>6.1749999999999998</v>
      </c>
      <c r="O91" s="5">
        <f>'[1]ÜDM sahələr üzrə'!AI115</f>
        <v>10.95</v>
      </c>
      <c r="P91" s="59">
        <f>'[1]ÜDM sahələr üzrə'!AJ115</f>
        <v>11.936141872595702</v>
      </c>
      <c r="Q91" s="5">
        <f>'[1]ÜDM sahələr üzrə'!AK115</f>
        <v>13.149240046291061</v>
      </c>
      <c r="R91" s="5">
        <f>'[1]ÜDM sahələr üzrə'!AL115</f>
        <v>14.192078763456198</v>
      </c>
      <c r="S91" s="5">
        <f>'[1]ÜDM sahələr üzrə'!AM115</f>
        <v>15.420952170803739</v>
      </c>
      <c r="T91" s="6">
        <f>'[1]ÜDM sahələr üzrə'!AN115</f>
        <v>16.777772626259278</v>
      </c>
      <c r="U91" s="6">
        <f>'[1]ÜDM sahələr üzrə'!AO115</f>
        <v>18.442876939865258</v>
      </c>
    </row>
    <row r="92" spans="1:21" customFormat="1" ht="14" hidden="1">
      <c r="A92" s="70"/>
      <c r="B92" s="4" t="s">
        <v>73</v>
      </c>
      <c r="C92" s="153" t="s">
        <v>6</v>
      </c>
      <c r="D92" s="59">
        <v>25.352112676056336</v>
      </c>
      <c r="E92" s="5">
        <v>26.178010471204189</v>
      </c>
      <c r="F92" s="5">
        <v>26.475409836065577</v>
      </c>
      <c r="G92" s="5">
        <v>26.386861313868614</v>
      </c>
      <c r="H92" s="59">
        <v>26.462395543175489</v>
      </c>
      <c r="I92" s="59">
        <f>'[1]ÜDM sahələr üzrə'!AC116</f>
        <v>26.436781609195403</v>
      </c>
      <c r="J92" s="5">
        <f>'[1]ÜDM sahələr üzrə'!AD116</f>
        <v>26.467889908256875</v>
      </c>
      <c r="K92" s="6">
        <f>'[1]ÜDM sahələr üzrə'!AE116</f>
        <v>26.240310077519378</v>
      </c>
      <c r="L92" s="5">
        <f>'[1]ÜDM sahələr üzrə'!AF116</f>
        <v>27.544642857142858</v>
      </c>
      <c r="M92" s="5">
        <f>'[1]ÜDM sahələr üzrə'!AG116</f>
        <v>26.640316205533598</v>
      </c>
      <c r="N92" s="5">
        <f>'[1]ÜDM sahələr üzrə'!AH116</f>
        <v>24.899193548387093</v>
      </c>
      <c r="O92" s="5">
        <f>'[1]ÜDM sahələr üzrə'!AI116</f>
        <v>25.114678899082566</v>
      </c>
      <c r="P92" s="59">
        <f>'[1]ÜDM sahələr üzrə'!AJ116</f>
        <v>25.114678899082566</v>
      </c>
      <c r="Q92" s="5">
        <f>'[1]ÜDM sahələr üzrə'!AK116</f>
        <v>25.114678899082566</v>
      </c>
      <c r="R92" s="5">
        <f>'[1]ÜDM sahələr üzrə'!AL116</f>
        <v>25.114678899082566</v>
      </c>
      <c r="S92" s="5">
        <f>'[1]ÜDM sahələr üzrə'!AM116</f>
        <v>25.114678899082566</v>
      </c>
      <c r="T92" s="6">
        <f>'[1]ÜDM sahələr üzrə'!AN116</f>
        <v>25.114678899082566</v>
      </c>
      <c r="U92" s="6">
        <f>'[1]ÜDM sahələr üzrə'!AO116</f>
        <v>25.114678899082566</v>
      </c>
    </row>
    <row r="93" spans="1:21" customFormat="1" ht="14" hidden="1">
      <c r="A93" s="70"/>
      <c r="B93" s="4" t="s">
        <v>16</v>
      </c>
      <c r="C93" s="153" t="s">
        <v>6</v>
      </c>
      <c r="D93" s="59">
        <v>-28</v>
      </c>
      <c r="E93" s="5">
        <v>-2.2999999999999972</v>
      </c>
      <c r="F93" s="5">
        <v>-36.799999999999997</v>
      </c>
      <c r="G93" s="5">
        <v>8.75</v>
      </c>
      <c r="H93" s="59">
        <v>22.9</v>
      </c>
      <c r="I93" s="59">
        <f>'[1]ÜDM sahələr üzrə'!AC117</f>
        <v>42.2</v>
      </c>
      <c r="J93" s="5">
        <f>'[1]ÜDM sahələr üzrə'!AD117</f>
        <v>-14.9</v>
      </c>
      <c r="K93" s="6">
        <f>'[1]ÜDM sahələr üzrə'!AE117</f>
        <v>20.8</v>
      </c>
      <c r="L93" s="5">
        <f>'[1]ÜDM sahələr üzrə'!AF117</f>
        <v>-12.599999999999994</v>
      </c>
      <c r="M93" s="5">
        <f>'[1]ÜDM sahələr üzrə'!AG117</f>
        <v>3.35</v>
      </c>
      <c r="N93" s="5">
        <f>'[1]ÜDM sahələr üzrə'!AH117</f>
        <v>-4.96</v>
      </c>
      <c r="O93" s="5">
        <f>'[1]ÜDM sahələr üzrə'!AI117</f>
        <v>9.0399999999999991</v>
      </c>
      <c r="P93" s="59">
        <f>'[1]ÜDM sahələr üzrə'!AJ117</f>
        <v>5.0877255963510635</v>
      </c>
      <c r="Q93" s="5">
        <f>'[1]ÜDM sahələr üzrə'!AK117</f>
        <v>6.42071107544065</v>
      </c>
      <c r="R93" s="5">
        <f>'[1]ÜDM sahələr üzrə'!AL117</f>
        <v>2.7273353487562417</v>
      </c>
      <c r="S93" s="5">
        <f>'[1]ÜDM sahələr üzrə'!AM117</f>
        <v>1.833866292451745</v>
      </c>
      <c r="T93" s="6">
        <f>'[1]ÜDM sahələr üzrə'!AN117</f>
        <v>1.6180150280059564</v>
      </c>
      <c r="U93" s="6">
        <f>'[1]ÜDM sahələr üzrə'!AO117</f>
        <v>2.5380695337277643</v>
      </c>
    </row>
    <row r="94" spans="1:21" customFormat="1" ht="14" hidden="1">
      <c r="A94" s="71"/>
      <c r="B94" s="9" t="s">
        <v>56</v>
      </c>
      <c r="C94" s="154" t="s">
        <v>6</v>
      </c>
      <c r="D94" s="60">
        <v>-9.6385542168674618</v>
      </c>
      <c r="E94" s="10">
        <v>-6.5</v>
      </c>
      <c r="F94" s="10">
        <v>1.1000000000000001</v>
      </c>
      <c r="G94" s="10">
        <v>2.9144870289313616</v>
      </c>
      <c r="H94" s="60">
        <v>6.9137161294533769</v>
      </c>
      <c r="I94" s="59">
        <f>'[1]ÜDM sahələr üzrə'!AC118</f>
        <v>2.0681673349912728</v>
      </c>
      <c r="J94" s="10">
        <f>'[1]ÜDM sahələr üzrə'!AD118</f>
        <v>-1.7353837769716876</v>
      </c>
      <c r="K94" s="11">
        <f>'[1]ÜDM sahələr üzrə'!AE118</f>
        <v>-2.8716700907870063</v>
      </c>
      <c r="L94" s="10">
        <f>'[1]ÜDM sahələr üzrə'!AF118</f>
        <v>4.2761679099810834</v>
      </c>
      <c r="M94" s="10">
        <f>'[1]ÜDM sahələr üzrə'!AG118</f>
        <v>5.6973871260896232</v>
      </c>
      <c r="N94" s="10">
        <f>'[1]ÜDM sahələr üzrə'!AH118</f>
        <v>-3.601419736434579</v>
      </c>
      <c r="O94" s="10">
        <f>'[1]ÜDM sahələr üzrə'!AI118</f>
        <v>62.626499653954539</v>
      </c>
      <c r="P94" s="60">
        <f>'[1]ÜDM sahələr üzrə'!AJ118</f>
        <v>3.7284432902162195</v>
      </c>
      <c r="Q94" s="10">
        <f>'[1]ÜDM sahələr üzrə'!AK118</f>
        <v>3.5167253613342098</v>
      </c>
      <c r="R94" s="10">
        <f>'[1]ÜDM sahələr üzrə'!AL118</f>
        <v>5.0653075085369323</v>
      </c>
      <c r="S94" s="10">
        <f>'[1]ÜDM sahələr üzrə'!AM118</f>
        <v>6.7020945420822642</v>
      </c>
      <c r="T94" s="11">
        <f>'[1]ÜDM sahələr üzrə'!AN118</f>
        <v>7.0662044612957544</v>
      </c>
      <c r="U94" s="11">
        <f>'[1]ÜDM sahələr üzrə'!AO118</f>
        <v>7.2035648256658646</v>
      </c>
    </row>
    <row r="95" spans="1:21" customFormat="1" ht="28" hidden="1">
      <c r="A95" s="69" t="s">
        <v>92</v>
      </c>
      <c r="B95" s="26" t="s">
        <v>93</v>
      </c>
      <c r="C95" s="164"/>
      <c r="D95" s="40"/>
      <c r="E95" s="18"/>
      <c r="F95" s="18"/>
      <c r="G95" s="18"/>
      <c r="H95" s="40"/>
      <c r="I95" s="94"/>
      <c r="J95" s="18"/>
      <c r="K95" s="19"/>
      <c r="L95" s="18"/>
      <c r="M95" s="18"/>
      <c r="N95" s="18"/>
      <c r="O95" s="18"/>
      <c r="P95" s="40"/>
      <c r="Q95" s="18"/>
      <c r="R95" s="18"/>
      <c r="S95" s="18"/>
      <c r="T95" s="19"/>
      <c r="U95" s="19"/>
    </row>
    <row r="96" spans="1:21" customFormat="1" ht="14" hidden="1">
      <c r="A96" s="70" t="s">
        <v>67</v>
      </c>
      <c r="B96" s="4" t="s">
        <v>68</v>
      </c>
      <c r="C96" s="153" t="s">
        <v>12</v>
      </c>
      <c r="D96" s="59">
        <v>15.1</v>
      </c>
      <c r="E96" s="5">
        <v>19.2</v>
      </c>
      <c r="F96" s="5">
        <v>16.399999999999999</v>
      </c>
      <c r="G96" s="5">
        <v>54.724668399174192</v>
      </c>
      <c r="H96" s="59">
        <v>58.3</v>
      </c>
      <c r="I96" s="59">
        <f>'[1]ÜDM sahələr üzrə'!AC120</f>
        <v>57.6</v>
      </c>
      <c r="J96" s="5">
        <f>'[1]ÜDM sahələr üzrə'!AD120</f>
        <v>63</v>
      </c>
      <c r="K96" s="6">
        <f>'[1]ÜDM sahələr üzrə'!AE120</f>
        <v>67.099999999999994</v>
      </c>
      <c r="L96" s="5">
        <f>'[1]ÜDM sahələr üzrə'!AF120</f>
        <v>65.2</v>
      </c>
      <c r="M96" s="5">
        <f>'[1]ÜDM sahələr üzrə'!AG120</f>
        <v>69.2</v>
      </c>
      <c r="N96" s="5">
        <f>'[1]ÜDM sahələr üzrə'!AH120</f>
        <v>36.9</v>
      </c>
      <c r="O96" s="5">
        <f>'[1]ÜDM sahələr üzrə'!AI120</f>
        <v>26.1</v>
      </c>
      <c r="P96" s="59">
        <f>'[1]ÜDM sahələr üzrə'!AJ120</f>
        <v>27.946246195575206</v>
      </c>
      <c r="Q96" s="5">
        <f>'[1]ÜDM sahələr üzrə'!AK120</f>
        <v>30.591246822644873</v>
      </c>
      <c r="R96" s="5">
        <f>'[1]ÜDM sahələr üzrə'!AL120</f>
        <v>33.006228750839973</v>
      </c>
      <c r="S96" s="5">
        <f>'[1]ÜDM sahələr üzrə'!AM120</f>
        <v>35.875601422749853</v>
      </c>
      <c r="T96" s="6">
        <f>'[1]ÜDM sahələr üzrə'!AN120</f>
        <v>39.260951490867086</v>
      </c>
      <c r="U96" s="6">
        <f>'[1]ÜDM sahələr üzrə'!AO120</f>
        <v>43.394452347027865</v>
      </c>
    </row>
    <row r="97" spans="1:21" customFormat="1" ht="14" hidden="1">
      <c r="A97" s="70" t="s">
        <v>69</v>
      </c>
      <c r="B97" s="4" t="s">
        <v>70</v>
      </c>
      <c r="C97" s="153" t="s">
        <v>12</v>
      </c>
      <c r="D97" s="59">
        <v>10.6</v>
      </c>
      <c r="E97" s="5">
        <v>13.5</v>
      </c>
      <c r="F97" s="5">
        <v>11.450099999999999</v>
      </c>
      <c r="G97" s="5">
        <v>38.252543211022761</v>
      </c>
      <c r="H97" s="59">
        <v>40.9</v>
      </c>
      <c r="I97" s="59">
        <f>'[1]ÜDM sahələr üzrə'!AC121</f>
        <v>40.33</v>
      </c>
      <c r="J97" s="5">
        <f>'[1]ÜDM sahələr üzrə'!AD121</f>
        <v>44.1</v>
      </c>
      <c r="K97" s="6">
        <f>'[1]ÜDM sahələr üzrə'!AE121</f>
        <v>43.199999999999996</v>
      </c>
      <c r="L97" s="5">
        <f>'[1]ÜDM sahələr üzrə'!AF121</f>
        <v>43.010000000000005</v>
      </c>
      <c r="M97" s="5">
        <f>'[1]ÜDM sahələr üzrə'!AG121</f>
        <v>43.620000000000005</v>
      </c>
      <c r="N97" s="5">
        <f>'[1]ÜDM sahələr üzrə'!AH121</f>
        <v>22.589999999999996</v>
      </c>
      <c r="O97" s="5">
        <f>'[1]ÜDM sahələr üzrə'!AI121</f>
        <v>15.980000000000002</v>
      </c>
      <c r="P97" s="59">
        <f>'[1]ÜDM sahələr üzrə'!AJ121</f>
        <v>17.110383686026509</v>
      </c>
      <c r="Q97" s="5">
        <f>'[1]ÜDM sahələr üzrə'!AK121</f>
        <v>18.729813188730468</v>
      </c>
      <c r="R97" s="5">
        <f>'[1]ÜDM sahələr üzrə'!AL121</f>
        <v>20.208411319479804</v>
      </c>
      <c r="S97" s="5">
        <f>'[1]ÜDM sahələr üzrə'!AM121</f>
        <v>21.965214970710448</v>
      </c>
      <c r="T97" s="6">
        <f>'[1]ÜDM sahələr üzrə'!AN121</f>
        <v>24.037931219312497</v>
      </c>
      <c r="U97" s="6">
        <f>'[1]ÜDM sahələr üzrə'!AO121</f>
        <v>26.56871067070902</v>
      </c>
    </row>
    <row r="98" spans="1:21" customFormat="1" ht="14" hidden="1">
      <c r="A98" s="70" t="s">
        <v>71</v>
      </c>
      <c r="B98" s="4" t="s">
        <v>72</v>
      </c>
      <c r="C98" s="153" t="s">
        <v>12</v>
      </c>
      <c r="D98" s="59">
        <v>4.5</v>
      </c>
      <c r="E98" s="5">
        <v>5.7</v>
      </c>
      <c r="F98" s="5">
        <v>4.9499000000000004</v>
      </c>
      <c r="G98" s="5">
        <v>16.472125188151431</v>
      </c>
      <c r="H98" s="59">
        <v>17.399999999999999</v>
      </c>
      <c r="I98" s="59">
        <f>'[1]ÜDM sahələr üzrə'!AC122</f>
        <v>17.27</v>
      </c>
      <c r="J98" s="5">
        <f>'[1]ÜDM sahələr üzrə'!AD122</f>
        <v>18.899999999999999</v>
      </c>
      <c r="K98" s="6">
        <f>'[1]ÜDM sahələr üzrə'!AE122</f>
        <v>23.9</v>
      </c>
      <c r="L98" s="5">
        <f>'[1]ÜDM sahələr üzrə'!AF122</f>
        <v>22.19</v>
      </c>
      <c r="M98" s="5">
        <f>'[1]ÜDM sahələr üzrə'!AG122</f>
        <v>25.58</v>
      </c>
      <c r="N98" s="5">
        <f>'[1]ÜDM sahələr üzrə'!AH122</f>
        <v>14.31</v>
      </c>
      <c r="O98" s="5">
        <f>'[1]ÜDM sahələr üzrə'!AI122</f>
        <v>10.119999999999999</v>
      </c>
      <c r="P98" s="59">
        <f>'[1]ÜDM sahələr üzrə'!AJ122</f>
        <v>10.835862509548697</v>
      </c>
      <c r="Q98" s="5">
        <f>'[1]ÜDM sahələr üzrə'!AK122</f>
        <v>11.861433633914407</v>
      </c>
      <c r="R98" s="5">
        <f>'[1]ÜDM sahələr üzrə'!AL122</f>
        <v>12.797817431360169</v>
      </c>
      <c r="S98" s="5">
        <f>'[1]ÜDM sahələr üzrə'!AM122</f>
        <v>13.910386452039402</v>
      </c>
      <c r="T98" s="6">
        <f>'[1]ÜDM sahələr üzrə'!AN122</f>
        <v>15.22302027155459</v>
      </c>
      <c r="U98" s="6">
        <f>'[1]ÜDM sahələr üzrə'!AO122</f>
        <v>16.825741676318845</v>
      </c>
    </row>
    <row r="99" spans="1:21" customFormat="1" ht="14" hidden="1">
      <c r="A99" s="70"/>
      <c r="B99" s="4" t="s">
        <v>73</v>
      </c>
      <c r="C99" s="153" t="s">
        <v>6</v>
      </c>
      <c r="D99" s="59">
        <v>29.80132450331126</v>
      </c>
      <c r="E99" s="5">
        <v>29.6875</v>
      </c>
      <c r="F99" s="5">
        <v>30.18231707317074</v>
      </c>
      <c r="G99" s="5">
        <v>30.099999999999998</v>
      </c>
      <c r="H99" s="59">
        <v>29.845626072041163</v>
      </c>
      <c r="I99" s="59">
        <f>'[1]ÜDM sahələr üzrə'!AC123</f>
        <v>29.982638888888886</v>
      </c>
      <c r="J99" s="5">
        <f>'[1]ÜDM sahələr üzrə'!AD123</f>
        <v>30</v>
      </c>
      <c r="K99" s="6">
        <f>'[1]ÜDM sahələr üzrə'!AE123</f>
        <v>35.618479880774963</v>
      </c>
      <c r="L99" s="5">
        <f>'[1]ÜDM sahələr üzrə'!AF123</f>
        <v>34.033742331288344</v>
      </c>
      <c r="M99" s="5">
        <f>'[1]ÜDM sahələr üzrə'!AG123</f>
        <v>36.96531791907514</v>
      </c>
      <c r="N99" s="5">
        <f>'[1]ÜDM sahələr üzrə'!AH123</f>
        <v>38.780487804878049</v>
      </c>
      <c r="O99" s="5">
        <f>'[1]ÜDM sahələr üzrə'!AI123</f>
        <v>38.773946360153246</v>
      </c>
      <c r="P99" s="59">
        <f>'[1]ÜDM sahələr üzrə'!AJ123</f>
        <v>38.773946360153246</v>
      </c>
      <c r="Q99" s="5">
        <f>'[1]ÜDM sahələr üzrə'!AK123</f>
        <v>38.773946360153246</v>
      </c>
      <c r="R99" s="5">
        <f>'[1]ÜDM sahələr üzrə'!AL123</f>
        <v>38.773946360153246</v>
      </c>
      <c r="S99" s="5">
        <f>'[1]ÜDM sahələr üzrə'!AM123</f>
        <v>38.773946360153246</v>
      </c>
      <c r="T99" s="6">
        <f>'[1]ÜDM sahələr üzrə'!AN123</f>
        <v>38.773946360153246</v>
      </c>
      <c r="U99" s="6">
        <f>'[1]ÜDM sahələr üzrə'!AO123</f>
        <v>38.773946360153246</v>
      </c>
    </row>
    <row r="100" spans="1:21" customFormat="1" ht="14" hidden="1">
      <c r="A100" s="70"/>
      <c r="B100" s="4" t="s">
        <v>16</v>
      </c>
      <c r="C100" s="153" t="s">
        <v>6</v>
      </c>
      <c r="D100" s="59">
        <v>29</v>
      </c>
      <c r="E100" s="5">
        <v>11.5</v>
      </c>
      <c r="F100" s="5">
        <v>-13</v>
      </c>
      <c r="G100" s="5">
        <v>-28.56</v>
      </c>
      <c r="H100" s="59">
        <v>-3</v>
      </c>
      <c r="I100" s="59">
        <f>'[1]ÜDM sahələr üzrə'!AC124</f>
        <v>9.5</v>
      </c>
      <c r="J100" s="5">
        <f>'[1]ÜDM sahələr üzrə'!AD124</f>
        <v>20.349</v>
      </c>
      <c r="K100" s="6">
        <f>'[1]ÜDM sahələr üzrə'!AE124</f>
        <v>5.7</v>
      </c>
      <c r="L100" s="5">
        <f>'[1]ÜDM sahələr üzrə'!AF124</f>
        <v>-15.400000000000006</v>
      </c>
      <c r="M100" s="5">
        <f>'[1]ÜDM sahələr üzrə'!AG124</f>
        <v>-14.86</v>
      </c>
      <c r="N100" s="5">
        <f>'[1]ÜDM sahələr üzrə'!AH124</f>
        <v>-51.1</v>
      </c>
      <c r="O100" s="5">
        <f>'[1]ÜDM sahələr üzrə'!AI124</f>
        <v>-29.1</v>
      </c>
      <c r="P100" s="59">
        <f>'[1]ÜDM sahələr üzrə'!AJ124</f>
        <v>4.7247035756833355</v>
      </c>
      <c r="Q100" s="5">
        <f>'[1]ÜDM sahələr üzrə'!AK124</f>
        <v>4.6883418424438474</v>
      </c>
      <c r="R100" s="5">
        <f>'[1]ÜDM sahələr üzrə'!AL124</f>
        <v>2.5299731779668377</v>
      </c>
      <c r="S100" s="5">
        <f>'[1]ÜDM sahələr üzrə'!AM124</f>
        <v>1.8662550950840426</v>
      </c>
      <c r="T100" s="6">
        <f>'[1]ÜDM sahələr üzrə'!AN124</f>
        <v>2.2137267544859469</v>
      </c>
      <c r="U100" s="6">
        <f>'[1]ÜDM sahələr üzrə'!AO124</f>
        <v>3.101305413427653</v>
      </c>
    </row>
    <row r="101" spans="1:21" customFormat="1" ht="14" hidden="1">
      <c r="A101" s="71"/>
      <c r="B101" s="9" t="s">
        <v>56</v>
      </c>
      <c r="C101" s="154" t="s">
        <v>6</v>
      </c>
      <c r="D101" s="60">
        <v>12.528132033008248</v>
      </c>
      <c r="E101" s="10">
        <v>14</v>
      </c>
      <c r="F101" s="10">
        <v>-1.2</v>
      </c>
      <c r="G101" s="10">
        <v>365.81316991527865</v>
      </c>
      <c r="H101" s="60">
        <v>8.8999999999999773</v>
      </c>
      <c r="I101" s="59">
        <f>'[1]ÜDM sahələr üzrə'!AC125</f>
        <v>-9.3581063349603681</v>
      </c>
      <c r="J101" s="10">
        <f>'[1]ÜDM sahələr üzrə'!AD125</f>
        <v>-9.0658564938066064</v>
      </c>
      <c r="K101" s="11">
        <f>'[1]ÜDM sahələr üzrə'!AE125</f>
        <v>19.63578661781122</v>
      </c>
      <c r="L101" s="10">
        <f>'[1]ÜDM sahələr üzrə'!AF125</f>
        <v>9.7460854426936692</v>
      </c>
      <c r="M101" s="10">
        <f>'[1]ÜDM sahələr üzrə'!AG125</f>
        <v>35.397171564730797</v>
      </c>
      <c r="N101" s="10">
        <f>'[1]ÜDM sahələr üzrə'!AH125</f>
        <v>14.401108995236896</v>
      </c>
      <c r="O101" s="10">
        <f>'[1]ÜDM sahələr üzrə'!AI125</f>
        <v>-0.25419410415553045</v>
      </c>
      <c r="P101" s="60">
        <f>'[1]ÜDM sahələr üzrə'!AJ125</f>
        <v>2.2430587598186236</v>
      </c>
      <c r="Q101" s="10">
        <f>'[1]ÜDM sahələr üzrə'!AK125</f>
        <v>4.5623598804444612</v>
      </c>
      <c r="R101" s="10">
        <f>'[1]ÜDM sahələr üzrə'!AL125</f>
        <v>5.2320142618500682</v>
      </c>
      <c r="S101" s="10">
        <f>'[1]ÜDM sahələr üzrə'!AM125</f>
        <v>6.7020945420822784</v>
      </c>
      <c r="T101" s="11">
        <f>'[1]ÜDM sahələr üzrə'!AN125</f>
        <v>7.0662044612957544</v>
      </c>
      <c r="U101" s="11">
        <f>'[1]ÜDM sahələr üzrə'!AO125</f>
        <v>7.2035648256658646</v>
      </c>
    </row>
    <row r="102" spans="1:21" customFormat="1" ht="14" hidden="1">
      <c r="A102" s="69" t="s">
        <v>94</v>
      </c>
      <c r="B102" s="26" t="s">
        <v>95</v>
      </c>
      <c r="C102" s="164"/>
      <c r="D102" s="40"/>
      <c r="E102" s="18"/>
      <c r="F102" s="18"/>
      <c r="G102" s="18"/>
      <c r="H102" s="40"/>
      <c r="I102" s="94"/>
      <c r="J102" s="18"/>
      <c r="K102" s="19"/>
      <c r="L102" s="18"/>
      <c r="M102" s="18"/>
      <c r="N102" s="18"/>
      <c r="O102" s="18"/>
      <c r="P102" s="40"/>
      <c r="Q102" s="18"/>
      <c r="R102" s="18"/>
      <c r="S102" s="18"/>
      <c r="T102" s="19"/>
      <c r="U102" s="19"/>
    </row>
    <row r="103" spans="1:21" customFormat="1" ht="14" hidden="1">
      <c r="A103" s="70" t="s">
        <v>67</v>
      </c>
      <c r="B103" s="4" t="s">
        <v>68</v>
      </c>
      <c r="C103" s="153" t="s">
        <v>12</v>
      </c>
      <c r="D103" s="59">
        <v>19.8</v>
      </c>
      <c r="E103" s="5">
        <v>28.1</v>
      </c>
      <c r="F103" s="5">
        <v>32.1</v>
      </c>
      <c r="G103" s="5">
        <v>55.8</v>
      </c>
      <c r="H103" s="59">
        <v>72.95</v>
      </c>
      <c r="I103" s="59">
        <f>'[1]ÜDM sahələr üzrə'!AC127</f>
        <v>76.7</v>
      </c>
      <c r="J103" s="5">
        <f>'[1]ÜDM sahələr üzrə'!AD127</f>
        <v>107.3</v>
      </c>
      <c r="K103" s="6">
        <f>'[1]ÜDM sahələr üzrə'!AE127</f>
        <v>104.3</v>
      </c>
      <c r="L103" s="5">
        <f>'[1]ÜDM sahələr üzrə'!AF127</f>
        <v>125.4</v>
      </c>
      <c r="M103" s="5">
        <f>'[1]ÜDM sahələr üzrə'!AG127</f>
        <v>153.9</v>
      </c>
      <c r="N103" s="5">
        <f>'[1]ÜDM sahələr üzrə'!AH127</f>
        <v>168.6</v>
      </c>
      <c r="O103" s="5">
        <f>'[1]ÜDM sahələr üzrə'!AI127</f>
        <v>227</v>
      </c>
      <c r="P103" s="59">
        <f>'[1]ÜDM sahələr üzrə'!AJ127</f>
        <v>246.56769892063809</v>
      </c>
      <c r="Q103" s="5">
        <f>'[1]ÜDM sahələr üzrə'!AK127</f>
        <v>264.10242731495589</v>
      </c>
      <c r="R103" s="5">
        <f>'[1]ÜDM sahələr üzrə'!AL127</f>
        <v>281.25678060622363</v>
      </c>
      <c r="S103" s="5">
        <f>'[1]ÜDM sahələr üzrə'!AM127</f>
        <v>301.82684653555998</v>
      </c>
      <c r="T103" s="6">
        <f>'[1]ÜDM sahələr üzrə'!AN127</f>
        <v>323.5360854482214</v>
      </c>
      <c r="U103" s="6">
        <f>'[1]ÜDM sahələr üzrə'!AO127</f>
        <v>347.61338696068384</v>
      </c>
    </row>
    <row r="104" spans="1:21" customFormat="1" ht="14" hidden="1">
      <c r="A104" s="70" t="s">
        <v>69</v>
      </c>
      <c r="B104" s="4" t="s">
        <v>70</v>
      </c>
      <c r="C104" s="153" t="s">
        <v>12</v>
      </c>
      <c r="D104" s="59">
        <v>15.5</v>
      </c>
      <c r="E104" s="5">
        <v>22</v>
      </c>
      <c r="F104" s="5">
        <v>25.103000000000002</v>
      </c>
      <c r="G104" s="5">
        <v>42.4</v>
      </c>
      <c r="H104" s="59">
        <v>56.900000000000006</v>
      </c>
      <c r="I104" s="59">
        <f>'[1]ÜDM sahələr üzrə'!AC128</f>
        <v>59.61</v>
      </c>
      <c r="J104" s="5">
        <f>'[1]ÜDM sahələr üzrə'!AD128</f>
        <v>83.4</v>
      </c>
      <c r="K104" s="6">
        <f>'[1]ÜDM sahələr üzrə'!AE128</f>
        <v>79.11</v>
      </c>
      <c r="L104" s="5">
        <f>'[1]ÜDM sahələr üzrə'!AF128</f>
        <v>93.410000000000011</v>
      </c>
      <c r="M104" s="5">
        <f>'[1]ÜDM sahələr üzrə'!AG128</f>
        <v>114.08000000000001</v>
      </c>
      <c r="N104" s="5">
        <f>'[1]ÜDM sahələr üzrə'!AH128</f>
        <v>120.5</v>
      </c>
      <c r="O104" s="5">
        <f>'[1]ÜDM sahələr üzrə'!AI128</f>
        <v>162.26</v>
      </c>
      <c r="P104" s="59">
        <f>'[1]ÜDM sahələr üzrə'!AJ128</f>
        <v>176.24702566899884</v>
      </c>
      <c r="Q104" s="5">
        <f>'[1]ÜDM sahələr üzrə'!AK128</f>
        <v>188.78088042345701</v>
      </c>
      <c r="R104" s="5">
        <f>'[1]ÜDM sahələr üzrə'!AL128</f>
        <v>201.04284238399049</v>
      </c>
      <c r="S104" s="5">
        <f>'[1]ÜDM sahələr üzrə'!AM128</f>
        <v>215.74636175709236</v>
      </c>
      <c r="T104" s="6">
        <f>'[1]ÜDM sahələr üzrə'!AN128</f>
        <v>231.26416398602822</v>
      </c>
      <c r="U104" s="6">
        <f>'[1]ÜDM sahələr üzrə'!AO128</f>
        <v>248.47466153409937</v>
      </c>
    </row>
    <row r="105" spans="1:21" customFormat="1" ht="14" hidden="1">
      <c r="A105" s="70" t="s">
        <v>71</v>
      </c>
      <c r="B105" s="4" t="s">
        <v>72</v>
      </c>
      <c r="C105" s="153" t="s">
        <v>12</v>
      </c>
      <c r="D105" s="59">
        <v>4.3</v>
      </c>
      <c r="E105" s="5">
        <v>6.1</v>
      </c>
      <c r="F105" s="5">
        <v>6.9969999999999999</v>
      </c>
      <c r="G105" s="5">
        <v>13.4</v>
      </c>
      <c r="H105" s="59">
        <v>16.05</v>
      </c>
      <c r="I105" s="59">
        <f>'[1]ÜDM sahələr üzrə'!AC129</f>
        <v>17.09</v>
      </c>
      <c r="J105" s="5">
        <f>'[1]ÜDM sahələr üzrə'!AD129</f>
        <v>23.9</v>
      </c>
      <c r="K105" s="6">
        <f>'[1]ÜDM sahələr üzrə'!AE129</f>
        <v>25.19</v>
      </c>
      <c r="L105" s="5">
        <f>'[1]ÜDM sahələr üzrə'!AF129</f>
        <v>31.99</v>
      </c>
      <c r="M105" s="5">
        <f>'[1]ÜDM sahələr üzrə'!AG129</f>
        <v>39.82</v>
      </c>
      <c r="N105" s="5">
        <f>'[1]ÜDM sahələr üzrə'!AH129</f>
        <v>48.1</v>
      </c>
      <c r="O105" s="5">
        <f>'[1]ÜDM sahələr üzrə'!AI129</f>
        <v>64.739999999999995</v>
      </c>
      <c r="P105" s="59">
        <f>'[1]ÜDM sahələr üzrə'!AJ129</f>
        <v>70.320673251639249</v>
      </c>
      <c r="Q105" s="5">
        <f>'[1]ÜDM sahələr üzrə'!AK129</f>
        <v>75.321546891498869</v>
      </c>
      <c r="R105" s="5">
        <f>'[1]ÜDM sahələr üzrə'!AL129</f>
        <v>80.213938222233125</v>
      </c>
      <c r="S105" s="5">
        <f>'[1]ÜDM sahələr üzrə'!AM129</f>
        <v>86.080484778467635</v>
      </c>
      <c r="T105" s="6">
        <f>'[1]ÜDM sahələr üzrə'!AN129</f>
        <v>92.271921462193177</v>
      </c>
      <c r="U105" s="6">
        <f>'[1]ÜDM sahələr üzrə'!AO129</f>
        <v>99.138725426584458</v>
      </c>
    </row>
    <row r="106" spans="1:21" customFormat="1" ht="14" hidden="1">
      <c r="A106" s="70"/>
      <c r="B106" s="4" t="s">
        <v>73</v>
      </c>
      <c r="C106" s="153" t="s">
        <v>6</v>
      </c>
      <c r="D106" s="59">
        <v>21.717171717171716</v>
      </c>
      <c r="E106" s="5">
        <v>21.708185053380781</v>
      </c>
      <c r="F106" s="5">
        <v>21.797507788161994</v>
      </c>
      <c r="G106" s="5">
        <v>24.014336917562726</v>
      </c>
      <c r="H106" s="59">
        <v>22.001370801919123</v>
      </c>
      <c r="I106" s="59">
        <f>'[1]ÜDM sahələr üzrə'!AC130</f>
        <v>22.281616688396351</v>
      </c>
      <c r="J106" s="5">
        <f>'[1]ÜDM sahələr üzrə'!AD130</f>
        <v>22.2739981360671</v>
      </c>
      <c r="K106" s="6">
        <f>'[1]ÜDM sahələr üzrə'!AE130</f>
        <v>24.151486097794823</v>
      </c>
      <c r="L106" s="5">
        <f>'[1]ÜDM sahələr üzrə'!AF130</f>
        <v>25.5103668261563</v>
      </c>
      <c r="M106" s="5">
        <f>'[1]ÜDM sahələr üzrə'!AG130</f>
        <v>25.873944119558157</v>
      </c>
      <c r="N106" s="5">
        <f>'[1]ÜDM sahələr üzrə'!AH130</f>
        <v>28.529062870699885</v>
      </c>
      <c r="O106" s="5">
        <f>'[1]ÜDM sahələr üzrə'!AI130</f>
        <v>28.519823788546255</v>
      </c>
      <c r="P106" s="59">
        <f>'[1]ÜDM sahələr üzrə'!AJ130</f>
        <v>28.519823788546255</v>
      </c>
      <c r="Q106" s="5">
        <f>'[1]ÜDM sahələr üzrə'!AK130</f>
        <v>28.519823788546255</v>
      </c>
      <c r="R106" s="5">
        <f>'[1]ÜDM sahələr üzrə'!AL130</f>
        <v>28.519823788546255</v>
      </c>
      <c r="S106" s="5">
        <f>'[1]ÜDM sahələr üzrə'!AM130</f>
        <v>28.519823788546255</v>
      </c>
      <c r="T106" s="6">
        <f>'[1]ÜDM sahələr üzrə'!AN130</f>
        <v>28.519823788546255</v>
      </c>
      <c r="U106" s="6">
        <f>'[1]ÜDM sahələr üzrə'!AO130</f>
        <v>28.519823788546255</v>
      </c>
    </row>
    <row r="107" spans="1:21" customFormat="1" ht="14" hidden="1">
      <c r="A107" s="70"/>
      <c r="B107" s="4" t="s">
        <v>16</v>
      </c>
      <c r="C107" s="153" t="s">
        <v>6</v>
      </c>
      <c r="D107" s="59">
        <v>24.5</v>
      </c>
      <c r="E107" s="5">
        <v>42.5</v>
      </c>
      <c r="F107" s="5">
        <v>13.4</v>
      </c>
      <c r="G107" s="5">
        <v>73.7</v>
      </c>
      <c r="H107" s="59">
        <v>19.899999999999999</v>
      </c>
      <c r="I107" s="59">
        <f>'[1]ÜDM sahələr üzrə'!AC131</f>
        <v>5.0999999999999996</v>
      </c>
      <c r="J107" s="5">
        <f>'[1]ÜDM sahələr üzrə'!AD131</f>
        <v>39.799999999999997</v>
      </c>
      <c r="K107" s="6">
        <f>'[1]ÜDM sahələr üzrə'!AE131</f>
        <v>-2.75</v>
      </c>
      <c r="L107" s="5">
        <f>'[1]ÜDM sahələr üzrə'!AF131</f>
        <v>20.76</v>
      </c>
      <c r="M107" s="5">
        <f>'[1]ÜDM sahələr üzrə'!AG131</f>
        <v>21.45</v>
      </c>
      <c r="N107" s="5">
        <f>'[1]ÜDM sahələr üzrə'!AH131</f>
        <v>9.6999999999999993</v>
      </c>
      <c r="O107" s="5">
        <f>'[1]ÜDM sahələr üzrə'!AI131</f>
        <v>33.58</v>
      </c>
      <c r="P107" s="59">
        <f>'[1]ÜDM sahələr üzrə'!AJ131</f>
        <v>6.5329204249219259</v>
      </c>
      <c r="Q107" s="5">
        <f>'[1]ÜDM sahələr üzrə'!AK131</f>
        <v>4.7727478695326795</v>
      </c>
      <c r="R107" s="5">
        <f>'[1]ÜDM sahələr üzrə'!AL131</f>
        <v>5.3189011856898105</v>
      </c>
      <c r="S107" s="5">
        <f>'[1]ÜDM sahələr üzrə'!AM131</f>
        <v>6.2287283958400366</v>
      </c>
      <c r="T107" s="6">
        <f>'[1]ÜDM sahələr üzrə'!AN131</f>
        <v>6.0904108951537808</v>
      </c>
      <c r="U107" s="6">
        <f>'[1]ÜDM sahələr üzrə'!AO131</f>
        <v>6.3205406317301822</v>
      </c>
    </row>
    <row r="108" spans="1:21" customFormat="1" ht="14" hidden="1">
      <c r="A108" s="71"/>
      <c r="B108" s="9" t="s">
        <v>56</v>
      </c>
      <c r="C108" s="154" t="s">
        <v>6</v>
      </c>
      <c r="D108" s="60">
        <v>245.38152610441762</v>
      </c>
      <c r="E108" s="10">
        <v>0.5</v>
      </c>
      <c r="F108" s="10">
        <v>1.1507213693006122</v>
      </c>
      <c r="G108" s="10">
        <v>10.253683028395514</v>
      </c>
      <c r="H108" s="60">
        <v>-0.10331993078810342</v>
      </c>
      <c r="I108" s="59">
        <f>'[1]ÜDM sahələr üzrə'!AC132</f>
        <v>1.3127980768945662</v>
      </c>
      <c r="J108" s="10">
        <f>'[1]ÜDM sahələr üzrə'!AD132</f>
        <v>3.4237659583908453E-2</v>
      </c>
      <c r="K108" s="11">
        <f>'[1]ÜDM sahələr üzrə'!AE132</f>
        <v>8.3778812748061426</v>
      </c>
      <c r="L108" s="10">
        <f>'[1]ÜDM sahələr üzrə'!AF132</f>
        <v>5.1630003493817753</v>
      </c>
      <c r="M108" s="10">
        <f>'[1]ÜDM sahələr üzrə'!AG132</f>
        <v>2.4918887399327758</v>
      </c>
      <c r="N108" s="10">
        <f>'[1]ÜDM sahələr üzrə'!AH132</f>
        <v>10.112644548599974</v>
      </c>
      <c r="O108" s="10">
        <f>'[1]ÜDM sahələr üzrə'!AI132</f>
        <v>0.75954079547430808</v>
      </c>
      <c r="P108" s="60">
        <f>'[1]ÜDM sahələr üzrə'!AJ132</f>
        <v>1.9592171601542703</v>
      </c>
      <c r="Q108" s="10">
        <f>'[1]ÜDM sahələr üzrə'!AK132</f>
        <v>2.232239912052802</v>
      </c>
      <c r="R108" s="10">
        <f>'[1]ÜDM sahələr üzrə'!AL132</f>
        <v>1.117026306955988</v>
      </c>
      <c r="S108" s="10">
        <f>'[1]ÜDM sahələr üzrə'!AM132</f>
        <v>1.0212835237518321</v>
      </c>
      <c r="T108" s="11">
        <f>'[1]ÜDM sahələr üzrə'!AN132</f>
        <v>1.0389277680942726</v>
      </c>
      <c r="U108" s="11">
        <f>'[1]ÜDM sahələr üzrə'!AO132</f>
        <v>1.0547170513436228</v>
      </c>
    </row>
    <row r="109" spans="1:21" customFormat="1" ht="14" hidden="1">
      <c r="A109" s="69" t="s">
        <v>96</v>
      </c>
      <c r="B109" s="26" t="s">
        <v>97</v>
      </c>
      <c r="C109" s="164"/>
      <c r="D109" s="40"/>
      <c r="E109" s="18"/>
      <c r="F109" s="18"/>
      <c r="G109" s="18"/>
      <c r="H109" s="40"/>
      <c r="I109" s="94"/>
      <c r="J109" s="18"/>
      <c r="K109" s="19"/>
      <c r="L109" s="18"/>
      <c r="M109" s="18"/>
      <c r="N109" s="18"/>
      <c r="O109" s="18"/>
      <c r="P109" s="40"/>
      <c r="Q109" s="18"/>
      <c r="R109" s="18"/>
      <c r="S109" s="18"/>
      <c r="T109" s="19"/>
      <c r="U109" s="19"/>
    </row>
    <row r="110" spans="1:21" customFormat="1" ht="14" hidden="1">
      <c r="A110" s="70" t="s">
        <v>67</v>
      </c>
      <c r="B110" s="4" t="s">
        <v>68</v>
      </c>
      <c r="C110" s="153" t="s">
        <v>12</v>
      </c>
      <c r="D110" s="59">
        <v>48</v>
      </c>
      <c r="E110" s="5">
        <v>34</v>
      </c>
      <c r="F110" s="5">
        <v>37.6</v>
      </c>
      <c r="G110" s="5">
        <v>60.2</v>
      </c>
      <c r="H110" s="59">
        <v>66.400000000000006</v>
      </c>
      <c r="I110" s="59">
        <f>'[1]ÜDM sahələr üzrə'!AC134</f>
        <v>111.8</v>
      </c>
      <c r="J110" s="5">
        <f>'[1]ÜDM sahələr üzrə'!AD134</f>
        <v>92.6</v>
      </c>
      <c r="K110" s="6">
        <f>'[1]ÜDM sahələr üzrə'!AE134</f>
        <v>85.8</v>
      </c>
      <c r="L110" s="5">
        <f>'[1]ÜDM sahələr üzrə'!AF134</f>
        <v>88.6</v>
      </c>
      <c r="M110" s="5">
        <f>'[1]ÜDM sahələr üzrə'!AG134</f>
        <v>90.7</v>
      </c>
      <c r="N110" s="5">
        <f>'[1]ÜDM sahələr üzrə'!AH134</f>
        <v>122.3</v>
      </c>
      <c r="O110" s="5">
        <f>'[1]ÜDM sahələr üzrə'!AI134</f>
        <v>141.5</v>
      </c>
      <c r="P110" s="59">
        <f>'[1]ÜDM sahələr üzrə'!AJ134</f>
        <v>148.49516484730168</v>
      </c>
      <c r="Q110" s="5">
        <f>'[1]ÜDM sahələr üzrə'!AK134</f>
        <v>158.07431135421209</v>
      </c>
      <c r="R110" s="5">
        <f>'[1]ÜDM sahələr üzrə'!AL134</f>
        <v>172.28391947805918</v>
      </c>
      <c r="S110" s="5">
        <f>'[1]ÜDM sahələr üzrə'!AM134</f>
        <v>189.43361854519802</v>
      </c>
      <c r="T110" s="6">
        <f>'[1]ÜDM sahələr üzrə'!AN134</f>
        <v>211.80075376716593</v>
      </c>
      <c r="U110" s="6">
        <f>'[1]ÜDM sahələr üzrə'!AO134</f>
        <v>237.49273469661131</v>
      </c>
    </row>
    <row r="111" spans="1:21" customFormat="1" ht="14" hidden="1">
      <c r="A111" s="70" t="s">
        <v>69</v>
      </c>
      <c r="B111" s="4" t="s">
        <v>70</v>
      </c>
      <c r="C111" s="153" t="s">
        <v>12</v>
      </c>
      <c r="D111" s="59">
        <v>25.9</v>
      </c>
      <c r="E111" s="5">
        <v>18.3</v>
      </c>
      <c r="F111" s="5">
        <v>20.100000000000001</v>
      </c>
      <c r="G111" s="5">
        <v>32.510000000000005</v>
      </c>
      <c r="H111" s="59">
        <v>35.460000000000008</v>
      </c>
      <c r="I111" s="59">
        <f>'[1]ÜDM sahələr üzrə'!AC135</f>
        <v>59.599999999999994</v>
      </c>
      <c r="J111" s="5">
        <f>'[1]ÜDM sahələr üzrə'!AD135</f>
        <v>49.399999999999991</v>
      </c>
      <c r="K111" s="6">
        <f>'[1]ÜDM sahələr üzrə'!AE135</f>
        <v>48.589999999999996</v>
      </c>
      <c r="L111" s="5">
        <f>'[1]ÜDM sahələr üzrə'!AF135</f>
        <v>50.084999999999994</v>
      </c>
      <c r="M111" s="5">
        <f>'[1]ÜDM sahələr üzrə'!AG135</f>
        <v>51.24</v>
      </c>
      <c r="N111" s="5">
        <f>'[1]ÜDM sahələr üzrə'!AH135</f>
        <v>66.759999999999991</v>
      </c>
      <c r="O111" s="5">
        <f>'[1]ÜDM sahələr üzrə'!AI135</f>
        <v>77.260000000000005</v>
      </c>
      <c r="P111" s="59">
        <f>'[1]ÜDM sahələr üzrə'!AJ135</f>
        <v>81.079409442420697</v>
      </c>
      <c r="Q111" s="5">
        <f>'[1]ÜDM sahələr üzrə'!AK135</f>
        <v>86.309691132342238</v>
      </c>
      <c r="R111" s="5">
        <f>'[1]ÜDM sahələr üzrə'!AL135</f>
        <v>94.068237589221567</v>
      </c>
      <c r="S111" s="5">
        <f>'[1]ÜDM sahələr üzrə'!AM135</f>
        <v>103.43209447916607</v>
      </c>
      <c r="T111" s="6">
        <f>'[1]ÜDM sahələr üzrə'!AN135</f>
        <v>115.64470838198757</v>
      </c>
      <c r="U111" s="6">
        <f>'[1]ÜDM sahələr üzrə'!AO135</f>
        <v>129.67271153823455</v>
      </c>
    </row>
    <row r="112" spans="1:21" customFormat="1" ht="14" hidden="1">
      <c r="A112" s="70" t="s">
        <v>71</v>
      </c>
      <c r="B112" s="4" t="s">
        <v>72</v>
      </c>
      <c r="C112" s="153" t="s">
        <v>12</v>
      </c>
      <c r="D112" s="59">
        <v>22.1</v>
      </c>
      <c r="E112" s="5">
        <v>15.7</v>
      </c>
      <c r="F112" s="5">
        <v>17.5</v>
      </c>
      <c r="G112" s="5">
        <v>27.69</v>
      </c>
      <c r="H112" s="59">
        <v>30.94</v>
      </c>
      <c r="I112" s="59">
        <f>'[1]ÜDM sahələr üzrə'!AC136</f>
        <v>52.2</v>
      </c>
      <c r="J112" s="5">
        <f>'[1]ÜDM sahələr üzrə'!AD136</f>
        <v>43.2</v>
      </c>
      <c r="K112" s="6">
        <f>'[1]ÜDM sahələr üzrə'!AE136</f>
        <v>37.21</v>
      </c>
      <c r="L112" s="5">
        <f>'[1]ÜDM sahələr üzrə'!AF136</f>
        <v>38.515000000000001</v>
      </c>
      <c r="M112" s="5">
        <f>'[1]ÜDM sahələr üzrə'!AG136</f>
        <v>39.46</v>
      </c>
      <c r="N112" s="5">
        <f>'[1]ÜDM sahələr üzrə'!AH136</f>
        <v>55.54</v>
      </c>
      <c r="O112" s="5">
        <f>'[1]ÜDM sahələr üzrə'!AI136</f>
        <v>64.239999999999995</v>
      </c>
      <c r="P112" s="59">
        <f>'[1]ÜDM sahələr üzrə'!AJ136</f>
        <v>67.415755404880983</v>
      </c>
      <c r="Q112" s="5">
        <f>'[1]ÜDM sahələr üzrə'!AK136</f>
        <v>71.764620221869848</v>
      </c>
      <c r="R112" s="5">
        <f>'[1]ÜDM sahələr üzrə'!AL136</f>
        <v>78.215681888837608</v>
      </c>
      <c r="S112" s="5">
        <f>'[1]ÜDM sahələr üzrə'!AM136</f>
        <v>86.001524066031948</v>
      </c>
      <c r="T112" s="6">
        <f>'[1]ÜDM sahələr üzrə'!AN136</f>
        <v>96.156045385178359</v>
      </c>
      <c r="U112" s="6">
        <f>'[1]ÜDM sahələr üzrə'!AO136</f>
        <v>107.82002315837676</v>
      </c>
    </row>
    <row r="113" spans="1:21" customFormat="1" ht="14" hidden="1">
      <c r="A113" s="70"/>
      <c r="B113" s="4" t="s">
        <v>73</v>
      </c>
      <c r="C113" s="153" t="s">
        <v>6</v>
      </c>
      <c r="D113" s="59">
        <v>46.041666666666671</v>
      </c>
      <c r="E113" s="5">
        <v>46.17647058823529</v>
      </c>
      <c r="F113" s="5">
        <v>46.542553191489361</v>
      </c>
      <c r="G113" s="5">
        <v>45.996677740863788</v>
      </c>
      <c r="H113" s="59">
        <v>46.596385542168676</v>
      </c>
      <c r="I113" s="59">
        <f>'[1]ÜDM sahələr üzrə'!AC137</f>
        <v>46.690518783542046</v>
      </c>
      <c r="J113" s="5">
        <f>'[1]ÜDM sahələr üzrə'!AD137</f>
        <v>46.652267818574522</v>
      </c>
      <c r="K113" s="6">
        <f>'[1]ÜDM sahələr üzrə'!AE137</f>
        <v>43.368298368298369</v>
      </c>
      <c r="L113" s="5">
        <f>'[1]ÜDM sahələr üzrə'!AF137</f>
        <v>43.47065462753951</v>
      </c>
      <c r="M113" s="5">
        <f>'[1]ÜDM sahələr üzrə'!AG137</f>
        <v>43.506063947078275</v>
      </c>
      <c r="N113" s="5">
        <f>'[1]ÜDM sahələr üzrə'!AH137</f>
        <v>45.412919051512674</v>
      </c>
      <c r="O113" s="5">
        <f>'[1]ÜDM sahələr üzrə'!AI137</f>
        <v>45.399293286219077</v>
      </c>
      <c r="P113" s="59">
        <f>'[1]ÜDM sahələr üzrə'!AJ137</f>
        <v>45.399293286219077</v>
      </c>
      <c r="Q113" s="5">
        <f>'[1]ÜDM sahələr üzrə'!AK137</f>
        <v>45.399293286219077</v>
      </c>
      <c r="R113" s="5">
        <f>'[1]ÜDM sahələr üzrə'!AL137</f>
        <v>45.399293286219077</v>
      </c>
      <c r="S113" s="5">
        <f>'[1]ÜDM sahələr üzrə'!AM137</f>
        <v>45.399293286219077</v>
      </c>
      <c r="T113" s="6">
        <f>'[1]ÜDM sahələr üzrə'!AN137</f>
        <v>45.399293286219077</v>
      </c>
      <c r="U113" s="6">
        <f>'[1]ÜDM sahələr üzrə'!AO137</f>
        <v>45.399293286219077</v>
      </c>
    </row>
    <row r="114" spans="1:21" customFormat="1" ht="14" hidden="1">
      <c r="A114" s="70"/>
      <c r="B114" s="4" t="s">
        <v>16</v>
      </c>
      <c r="C114" s="153" t="s">
        <v>6</v>
      </c>
      <c r="D114" s="59">
        <v>8.9</v>
      </c>
      <c r="E114" s="5">
        <v>-34.700000000000003</v>
      </c>
      <c r="F114" s="5">
        <v>7.7</v>
      </c>
      <c r="G114" s="5">
        <v>41.64</v>
      </c>
      <c r="H114" s="59">
        <v>-3.44</v>
      </c>
      <c r="I114" s="59">
        <f>'[1]ÜDM sahələr üzrə'!AC138</f>
        <v>82.1</v>
      </c>
      <c r="J114" s="5">
        <f>'[1]ÜDM sahələr üzrə'!AD138</f>
        <v>-22.6</v>
      </c>
      <c r="K114" s="6">
        <f>'[1]ÜDM sahələr üzrə'!AE138</f>
        <v>-6.2</v>
      </c>
      <c r="L114" s="5">
        <f>'[1]ÜDM sahələr üzrə'!AF138</f>
        <v>-0.40000000000000568</v>
      </c>
      <c r="M114" s="5">
        <f>'[1]ÜDM sahələr üzrə'!AG138</f>
        <v>-13.2</v>
      </c>
      <c r="N114" s="5">
        <f>'[1]ÜDM sahələr üzrə'!AH138</f>
        <v>26.4</v>
      </c>
      <c r="O114" s="5">
        <f>'[1]ÜDM sahələr üzrə'!AI138</f>
        <v>12.45</v>
      </c>
      <c r="P114" s="59">
        <f>'[1]ÜDM sahələr üzrə'!AJ138</f>
        <v>3.1464869797796098</v>
      </c>
      <c r="Q114" s="5">
        <f>'[1]ÜDM sahələr üzrə'!AK138</f>
        <v>3.6340688330204927</v>
      </c>
      <c r="R114" s="5">
        <f>'[1]ÜDM sahələr üzrə'!AL138</f>
        <v>3.7347128222618124</v>
      </c>
      <c r="S114" s="5">
        <f>'[1]ÜDM sahələr üzrə'!AM138</f>
        <v>3.0479525211331406</v>
      </c>
      <c r="T114" s="6">
        <f>'[1]ÜDM sahələr üzrə'!AN138</f>
        <v>4.4282593607276652</v>
      </c>
      <c r="U114" s="6">
        <f>'[1]ÜDM sahələr üzrə'!AO138</f>
        <v>4.5956443921498931</v>
      </c>
    </row>
    <row r="115" spans="1:21" customFormat="1" ht="14" hidden="1">
      <c r="A115" s="71"/>
      <c r="B115" s="9" t="s">
        <v>56</v>
      </c>
      <c r="C115" s="154" t="s">
        <v>6</v>
      </c>
      <c r="D115" s="60">
        <v>7.3748548496023432</v>
      </c>
      <c r="E115" s="10">
        <v>8.9</v>
      </c>
      <c r="F115" s="10">
        <v>3.1</v>
      </c>
      <c r="G115" s="10">
        <v>11.711784403114549</v>
      </c>
      <c r="H115" s="60">
        <v>15.717780863585261</v>
      </c>
      <c r="I115" s="59">
        <f>'[1]ÜDM sahələr üzrə'!AC139</f>
        <v>-7.3511041725015929</v>
      </c>
      <c r="J115" s="10">
        <f>'[1]ÜDM sahələr üzrə'!AD139</f>
        <v>6.9232825447741249</v>
      </c>
      <c r="K115" s="11">
        <f>'[1]ÜDM sahələr üzrə'!AE139</f>
        <v>-8.1724314933269966</v>
      </c>
      <c r="L115" s="10">
        <f>'[1]ÜDM sahələr üzrə'!AF139</f>
        <v>3.9228129934410987</v>
      </c>
      <c r="M115" s="10">
        <f>'[1]ÜDM sahələr üzrə'!AG139</f>
        <v>18.034089297903577</v>
      </c>
      <c r="N115" s="10">
        <f>'[1]ÜDM sahələr üzrə'!AH139</f>
        <v>11.352948346988128</v>
      </c>
      <c r="O115" s="10">
        <f>'[1]ÜDM sahələr üzrə'!AI139</f>
        <v>2.8585024705094213</v>
      </c>
      <c r="P115" s="60">
        <f>'[1]ÜDM sahələr üzrə'!AJ139</f>
        <v>1.7422720542668912</v>
      </c>
      <c r="Q115" s="10">
        <f>'[1]ÜDM sahələr üzrə'!AK139</f>
        <v>2.7179719422707933</v>
      </c>
      <c r="R115" s="10">
        <f>'[1]ÜDM sahələr üzrə'!AL139</f>
        <v>5.0653075085369039</v>
      </c>
      <c r="S115" s="10">
        <f>'[1]ÜDM sahələr üzrə'!AM139</f>
        <v>6.7020945420822642</v>
      </c>
      <c r="T115" s="11">
        <f>'[1]ÜDM sahələr üzrə'!AN139</f>
        <v>7.0662044612957544</v>
      </c>
      <c r="U115" s="11">
        <f>'[1]ÜDM sahələr üzrə'!AO139</f>
        <v>7.2035648256658931</v>
      </c>
    </row>
    <row r="116" spans="1:21" customFormat="1" ht="14" hidden="1">
      <c r="A116" s="69" t="s">
        <v>98</v>
      </c>
      <c r="B116" s="26" t="s">
        <v>99</v>
      </c>
      <c r="C116" s="164"/>
      <c r="D116" s="40"/>
      <c r="E116" s="18"/>
      <c r="F116" s="18"/>
      <c r="G116" s="18"/>
      <c r="H116" s="40"/>
      <c r="I116" s="94"/>
      <c r="J116" s="18"/>
      <c r="K116" s="19"/>
      <c r="L116" s="18"/>
      <c r="M116" s="18"/>
      <c r="N116" s="18"/>
      <c r="O116" s="18"/>
      <c r="P116" s="40"/>
      <c r="Q116" s="18"/>
      <c r="R116" s="18"/>
      <c r="S116" s="18"/>
      <c r="T116" s="19"/>
      <c r="U116" s="19"/>
    </row>
    <row r="117" spans="1:21" customFormat="1" ht="14" hidden="1">
      <c r="A117" s="70" t="s">
        <v>67</v>
      </c>
      <c r="B117" s="4" t="s">
        <v>68</v>
      </c>
      <c r="C117" s="153" t="s">
        <v>12</v>
      </c>
      <c r="D117" s="59">
        <v>2434.1999999999998</v>
      </c>
      <c r="E117" s="5">
        <v>2852.7</v>
      </c>
      <c r="F117" s="5">
        <v>2488.8000000000002</v>
      </c>
      <c r="G117" s="5">
        <v>2467.8000000000002</v>
      </c>
      <c r="H117" s="59">
        <v>2556.3000000000002</v>
      </c>
      <c r="I117" s="59">
        <f>'[1]ÜDM sahələr üzrə'!AC141</f>
        <v>2833.4</v>
      </c>
      <c r="J117" s="5">
        <f>'[1]ÜDM sahələr üzrə'!AD141</f>
        <v>2919.7</v>
      </c>
      <c r="K117" s="6">
        <f>'[1]ÜDM sahələr üzrə'!AE141</f>
        <v>2712.3</v>
      </c>
      <c r="L117" s="5">
        <f>'[1]ÜDM sahələr üzrə'!AF141</f>
        <v>3690.2</v>
      </c>
      <c r="M117" s="5">
        <f>'[1]ÜDM sahələr üzrə'!AG141</f>
        <v>4431.6000000000004</v>
      </c>
      <c r="N117" s="5">
        <f>'[1]ÜDM sahələr üzrə'!AH141</f>
        <v>4529.8</v>
      </c>
      <c r="O117" s="5">
        <f>'[1]ÜDM sahələr üzrə'!AI141</f>
        <v>4741.2</v>
      </c>
      <c r="P117" s="59">
        <f>'[1]ÜDM sahələr üzrə'!AJ141</f>
        <v>5689.2211159850931</v>
      </c>
      <c r="Q117" s="5">
        <f>'[1]ÜDM sahələr üzrə'!AK141</f>
        <v>5513.3672465747431</v>
      </c>
      <c r="R117" s="5">
        <f>'[1]ÜDM sahələr üzrə'!AL141</f>
        <v>5983.9657670768993</v>
      </c>
      <c r="S117" s="5">
        <f>'[1]ÜDM sahələr üzrə'!AM141</f>
        <v>5462.0348169715207</v>
      </c>
      <c r="T117" s="6">
        <f>'[1]ÜDM sahələr üzrə'!AN141</f>
        <v>5924.7924971027151</v>
      </c>
      <c r="U117" s="6">
        <f>'[1]ÜDM sahələr üzrə'!AO141</f>
        <v>6235.383131685724</v>
      </c>
    </row>
    <row r="118" spans="1:21" customFormat="1" ht="14" hidden="1">
      <c r="A118" s="70" t="s">
        <v>69</v>
      </c>
      <c r="B118" s="4" t="s">
        <v>70</v>
      </c>
      <c r="C118" s="153" t="s">
        <v>12</v>
      </c>
      <c r="D118" s="59">
        <v>1406.6</v>
      </c>
      <c r="E118" s="5">
        <v>1634.6</v>
      </c>
      <c r="F118" s="5">
        <v>1426.9</v>
      </c>
      <c r="G118" s="5">
        <v>1416.5000000000002</v>
      </c>
      <c r="H118" s="59">
        <v>1482.66</v>
      </c>
      <c r="I118" s="59">
        <f>'[1]ÜDM sahələr üzrə'!AC142</f>
        <v>1537.8600000000001</v>
      </c>
      <c r="J118" s="5">
        <f>'[1]ÜDM sahələr üzrə'!AD142</f>
        <v>1581.4599999999998</v>
      </c>
      <c r="K118" s="6">
        <f>'[1]ÜDM sahələr üzrə'!AE142</f>
        <v>1365.0000000000002</v>
      </c>
      <c r="L118" s="5">
        <f>'[1]ÜDM sahələr üzrə'!AF142</f>
        <v>1598.5</v>
      </c>
      <c r="M118" s="5">
        <f>'[1]ÜDM sahələr üzrə'!AG142</f>
        <v>1839.6000000000004</v>
      </c>
      <c r="N118" s="5">
        <f>'[1]ÜDM sahələr üzrə'!AH142</f>
        <v>2890</v>
      </c>
      <c r="O118" s="5">
        <f>'[1]ÜDM sahələr üzrə'!AI142</f>
        <v>2943.6</v>
      </c>
      <c r="P118" s="59">
        <f>'[1]ÜDM sahələr üzrə'!AJ142</f>
        <v>3190.830837700837</v>
      </c>
      <c r="Q118" s="5">
        <f>'[1]ÜDM sahələr üzrə'!AK142</f>
        <v>2871.667541565721</v>
      </c>
      <c r="R118" s="5">
        <f>'[1]ÜDM sahələr üzrə'!AL142</f>
        <v>3116.7813596728806</v>
      </c>
      <c r="S118" s="5">
        <f>'[1]ÜDM sahələr üzrə'!AM142</f>
        <v>2735.6900679849664</v>
      </c>
      <c r="T118" s="6">
        <f>'[1]ÜDM sahələr üzrə'!AN142</f>
        <v>2967.4647878174183</v>
      </c>
      <c r="U118" s="6">
        <f>'[1]ÜDM sahələr üzrə'!AO142</f>
        <v>3123.0258090686521</v>
      </c>
    </row>
    <row r="119" spans="1:21" customFormat="1" ht="14" hidden="1">
      <c r="A119" s="70" t="s">
        <v>71</v>
      </c>
      <c r="B119" s="4" t="s">
        <v>72</v>
      </c>
      <c r="C119" s="153" t="s">
        <v>12</v>
      </c>
      <c r="D119" s="59">
        <v>1027.5999999999999</v>
      </c>
      <c r="E119" s="5">
        <v>1218.0999999999999</v>
      </c>
      <c r="F119" s="5">
        <v>1061.9000000000001</v>
      </c>
      <c r="G119" s="5">
        <v>1051.3</v>
      </c>
      <c r="H119" s="59">
        <v>1073.6400000000001</v>
      </c>
      <c r="I119" s="59">
        <f>'[1]ÜDM sahələr üzrə'!AC143</f>
        <v>1295.54</v>
      </c>
      <c r="J119" s="5">
        <f>'[1]ÜDM sahələr üzrə'!AD143</f>
        <v>1338.24</v>
      </c>
      <c r="K119" s="6">
        <f>'[1]ÜDM sahələr üzrə'!AE143</f>
        <v>1347.3</v>
      </c>
      <c r="L119" s="5">
        <f>'[1]ÜDM sahələr üzrə'!AF143</f>
        <v>2091.6999999999998</v>
      </c>
      <c r="M119" s="5">
        <f>'[1]ÜDM sahələr üzrə'!AG143</f>
        <v>2592</v>
      </c>
      <c r="N119" s="5">
        <f>'[1]ÜDM sahələr üzrə'!AH143</f>
        <v>1639.8</v>
      </c>
      <c r="O119" s="5">
        <f>'[1]ÜDM sahələr üzrə'!AI143</f>
        <v>1797.6</v>
      </c>
      <c r="P119" s="59">
        <f>'[1]ÜDM sahələr üzrə'!AJ143</f>
        <v>2498.3902782842561</v>
      </c>
      <c r="Q119" s="5">
        <f>'[1]ÜDM sahələr üzrə'!AK143</f>
        <v>2641.6997050090222</v>
      </c>
      <c r="R119" s="5">
        <f>'[1]ÜDM sahələr üzrə'!AL143</f>
        <v>2867.1844074040187</v>
      </c>
      <c r="S119" s="5">
        <f>'[1]ÜDM sahələr üzrə'!AM143</f>
        <v>2726.3447489865544</v>
      </c>
      <c r="T119" s="6">
        <f>'[1]ÜDM sahələr üzrə'!AN143</f>
        <v>2957.3277092852968</v>
      </c>
      <c r="U119" s="6">
        <f>'[1]ÜDM sahələr üzrə'!AO143</f>
        <v>3112.357322617072</v>
      </c>
    </row>
    <row r="120" spans="1:21" customFormat="1" ht="14" hidden="1">
      <c r="A120" s="70"/>
      <c r="B120" s="4" t="s">
        <v>73</v>
      </c>
      <c r="C120" s="153" t="s">
        <v>6</v>
      </c>
      <c r="D120" s="59">
        <v>42.215101470709058</v>
      </c>
      <c r="E120" s="5">
        <v>42.699898341921688</v>
      </c>
      <c r="F120" s="5">
        <v>42.667148826743812</v>
      </c>
      <c r="G120" s="5">
        <v>42.600696977064587</v>
      </c>
      <c r="H120" s="59">
        <v>41.999765285764582</v>
      </c>
      <c r="I120" s="59">
        <f>'[1]ÜDM sahələr üzrə'!AC144</f>
        <v>45.723865320815975</v>
      </c>
      <c r="J120" s="5">
        <f>'[1]ÜDM sahələr üzrə'!AD144</f>
        <v>45.83484604582663</v>
      </c>
      <c r="K120" s="6">
        <f>'[1]ÜDM sahələr üzrə'!AE144</f>
        <v>49.673708660546396</v>
      </c>
      <c r="L120" s="5">
        <f>'[1]ÜDM sahələr üzrə'!AF144</f>
        <v>56.682564630643327</v>
      </c>
      <c r="M120" s="5">
        <f>'[1]ÜDM sahələr üzrə'!AG144</f>
        <v>58.489033306255067</v>
      </c>
      <c r="N120" s="5">
        <f>'[1]ÜDM sahələr üzrə'!AH144</f>
        <v>36.200273742770101</v>
      </c>
      <c r="O120" s="5">
        <f>'[1]ÜDM sahələr üzrə'!AI144</f>
        <v>37.914452037458872</v>
      </c>
      <c r="P120" s="59">
        <f>'[1]ÜDM sahələr üzrə'!AJ144</f>
        <v>43.914452037458872</v>
      </c>
      <c r="Q120" s="5">
        <f>'[1]ÜDM sahələr üzrə'!AK144</f>
        <v>47.914452037458872</v>
      </c>
      <c r="R120" s="5">
        <f>'[1]ÜDM sahələr üzrə'!AL144</f>
        <v>47.914452037458872</v>
      </c>
      <c r="S120" s="5">
        <f>'[1]ÜDM sahələr üzrə'!AM144</f>
        <v>49.914452037458872</v>
      </c>
      <c r="T120" s="6">
        <f>'[1]ÜDM sahələr üzrə'!AN144</f>
        <v>49.914452037458872</v>
      </c>
      <c r="U120" s="6">
        <f>'[1]ÜDM sahələr üzrə'!AO144</f>
        <v>49.914452037458872</v>
      </c>
    </row>
    <row r="121" spans="1:21" customFormat="1" ht="14" hidden="1">
      <c r="A121" s="70"/>
      <c r="B121" s="4" t="s">
        <v>16</v>
      </c>
      <c r="C121" s="153" t="s">
        <v>6</v>
      </c>
      <c r="D121" s="59">
        <v>6.2</v>
      </c>
      <c r="E121" s="5">
        <v>-6.0999999999999943</v>
      </c>
      <c r="F121" s="5">
        <v>-4.9000000000000057</v>
      </c>
      <c r="G121" s="5">
        <v>-9.1</v>
      </c>
      <c r="H121" s="59">
        <v>-7.79</v>
      </c>
      <c r="I121" s="59">
        <f>'[1]ÜDM sahələr üzrə'!AC145</f>
        <v>3</v>
      </c>
      <c r="J121" s="5">
        <f>'[1]ÜDM sahələr üzrə'!AD145</f>
        <v>-3.2</v>
      </c>
      <c r="K121" s="6">
        <f>'[1]ÜDM sahələr üzrə'!AE145</f>
        <v>-2.9</v>
      </c>
      <c r="L121" s="5">
        <f>'[1]ÜDM sahələr üzrə'!AF145</f>
        <v>13.5</v>
      </c>
      <c r="M121" s="5">
        <f>'[1]ÜDM sahələr üzrə'!AG145</f>
        <v>-3.9</v>
      </c>
      <c r="N121" s="5">
        <f>'[1]ÜDM sahələr üzrə'!AH145</f>
        <v>9.86</v>
      </c>
      <c r="O121" s="5">
        <f>'[1]ÜDM sahələr üzrə'!AI145</f>
        <v>-10.96</v>
      </c>
      <c r="P121" s="59">
        <f>'[1]ÜDM sahələr üzrə'!AJ145</f>
        <v>11.498956939506732</v>
      </c>
      <c r="Q121" s="5">
        <f>'[1]ÜDM sahələr üzrə'!AK145</f>
        <v>-5.5000616601634036</v>
      </c>
      <c r="R121" s="5">
        <f>'[1]ÜDM sahələr üzrə'!AL145</f>
        <v>8.4799837215928608</v>
      </c>
      <c r="S121" s="5">
        <f>'[1]ÜDM sahələr üzrə'!AM145</f>
        <v>-8.0780027157794088</v>
      </c>
      <c r="T121" s="6">
        <f>'[1]ÜDM sahələr üzrə'!AN145</f>
        <v>8.5093652469927559</v>
      </c>
      <c r="U121" s="6">
        <f>'[1]ÜDM sahələr üzrə'!AO145</f>
        <v>2.3416390726593295E-3</v>
      </c>
    </row>
    <row r="122" spans="1:21" customFormat="1" ht="14" hidden="1">
      <c r="A122" s="71"/>
      <c r="B122" s="9" t="s">
        <v>56</v>
      </c>
      <c r="C122" s="154" t="s">
        <v>6</v>
      </c>
      <c r="D122" s="60">
        <v>0.70860597963718419</v>
      </c>
      <c r="E122" s="10">
        <v>26.238915620047493</v>
      </c>
      <c r="F122" s="10">
        <v>-8.3000000000000007</v>
      </c>
      <c r="G122" s="10">
        <v>8.912859456206462</v>
      </c>
      <c r="H122" s="60">
        <v>10.752616972084496</v>
      </c>
      <c r="I122" s="59">
        <f>'[1]ÜDM sahələr üzrə'!AC146</f>
        <v>17.157770607555747</v>
      </c>
      <c r="J122" s="10">
        <f>'[1]ÜDM sahələr üzrə'!AD146</f>
        <v>6.7106641896796333</v>
      </c>
      <c r="K122" s="11">
        <f>'[1]ÜDM sahələr üzrə'!AE146</f>
        <v>3.6838399673752633</v>
      </c>
      <c r="L122" s="10">
        <f>'[1]ÜDM sahələr üzrə'!AF146</f>
        <v>36.785236323519939</v>
      </c>
      <c r="M122" s="10">
        <f>'[1]ÜDM sahələr üzrə'!AG146</f>
        <v>28.947288169379846</v>
      </c>
      <c r="N122" s="10">
        <f>'[1]ÜDM sahələr üzrə'!AH146</f>
        <v>-42.414082569735221</v>
      </c>
      <c r="O122" s="10">
        <f>'[1]ÜDM sahələr üzrə'!AI146</f>
        <v>23.116716948914615</v>
      </c>
      <c r="P122" s="60">
        <f>'[1]ÜDM sahələr üzrə'!AJ146</f>
        <v>7.620184669216485</v>
      </c>
      <c r="Q122" s="10">
        <f>'[1]ÜDM sahələr üzrə'!AK146</f>
        <v>2.5492724297191245</v>
      </c>
      <c r="R122" s="10">
        <f>'[1]ÜDM sahələr üzrə'!AL146</f>
        <v>5.1261106799231015E-2</v>
      </c>
      <c r="S122" s="10">
        <f>'[1]ÜDM sahələr üzrə'!AM146</f>
        <v>-0.70076295543023548</v>
      </c>
      <c r="T122" s="11">
        <f>'[1]ÜDM sahələr üzrə'!AN146</f>
        <v>-3.4197303089499087E-2</v>
      </c>
      <c r="U122" s="11">
        <f>'[1]ÜDM sahələr üzrə'!AO146</f>
        <v>5.2397552823331637</v>
      </c>
    </row>
    <row r="123" spans="1:21" customFormat="1" ht="14" hidden="1">
      <c r="A123" s="69" t="s">
        <v>100</v>
      </c>
      <c r="B123" s="26" t="s">
        <v>101</v>
      </c>
      <c r="C123" s="164"/>
      <c r="D123" s="40"/>
      <c r="E123" s="18"/>
      <c r="F123" s="18"/>
      <c r="G123" s="18"/>
      <c r="H123" s="40"/>
      <c r="I123" s="94"/>
      <c r="J123" s="18"/>
      <c r="K123" s="19"/>
      <c r="L123" s="18"/>
      <c r="M123" s="18"/>
      <c r="N123" s="18"/>
      <c r="O123" s="18"/>
      <c r="P123" s="40"/>
      <c r="Q123" s="18"/>
      <c r="R123" s="18"/>
      <c r="S123" s="18"/>
      <c r="T123" s="19"/>
      <c r="U123" s="19"/>
    </row>
    <row r="124" spans="1:21" customFormat="1" ht="14" hidden="1">
      <c r="A124" s="70" t="s">
        <v>67</v>
      </c>
      <c r="B124" s="4" t="s">
        <v>68</v>
      </c>
      <c r="C124" s="153" t="s">
        <v>12</v>
      </c>
      <c r="D124" s="59">
        <v>200.3</v>
      </c>
      <c r="E124" s="5">
        <v>247.2</v>
      </c>
      <c r="F124" s="5">
        <v>353.9</v>
      </c>
      <c r="G124" s="5">
        <v>373.8</v>
      </c>
      <c r="H124" s="59">
        <v>513.5</v>
      </c>
      <c r="I124" s="59">
        <f>'[1]ÜDM sahələr üzrə'!AC148</f>
        <v>529.29999999999995</v>
      </c>
      <c r="J124" s="5">
        <f>'[1]ÜDM sahələr üzrə'!AD148</f>
        <v>601.4</v>
      </c>
      <c r="K124" s="6">
        <f>'[1]ÜDM sahələr üzrə'!AE148</f>
        <v>655.4</v>
      </c>
      <c r="L124" s="5">
        <f>'[1]ÜDM sahələr üzrə'!AF148</f>
        <v>1710.4</v>
      </c>
      <c r="M124" s="5">
        <f>'[1]ÜDM sahələr üzrə'!AG148</f>
        <v>1827.4</v>
      </c>
      <c r="N124" s="5">
        <f>'[1]ÜDM sahələr üzrə'!AH148</f>
        <v>1622.2</v>
      </c>
      <c r="O124" s="5">
        <f>'[1]ÜDM sahələr üzrə'!AI148</f>
        <v>1556.5</v>
      </c>
      <c r="P124" s="59">
        <f>'[1]ÜDM sahələr üzrə'!AJ148</f>
        <v>1584.643791503222</v>
      </c>
      <c r="Q124" s="5">
        <f>'[1]ÜDM sahələr üzrə'!AK148</f>
        <v>1601.4423515353044</v>
      </c>
      <c r="R124" s="5">
        <f>'[1]ÜDM sahələr üzrə'!AL148</f>
        <v>1668.2345033433028</v>
      </c>
      <c r="S124" s="5">
        <f>'[1]ÜDM sahələr üzrə'!AM148</f>
        <v>1743.0845804998323</v>
      </c>
      <c r="T124" s="6">
        <f>'[1]ÜDM sahələr üzrə'!AN148</f>
        <v>1805.3734957853919</v>
      </c>
      <c r="U124" s="6">
        <f>'[1]ÜDM sahələr üzrə'!AO148</f>
        <v>1653.9390237325922</v>
      </c>
    </row>
    <row r="125" spans="1:21" customFormat="1" ht="14" hidden="1">
      <c r="A125" s="70" t="s">
        <v>69</v>
      </c>
      <c r="B125" s="4" t="s">
        <v>70</v>
      </c>
      <c r="C125" s="153" t="s">
        <v>12</v>
      </c>
      <c r="D125" s="59">
        <v>129.80000000000001</v>
      </c>
      <c r="E125" s="5">
        <v>159.19999999999999</v>
      </c>
      <c r="F125" s="5">
        <v>227.79999999999998</v>
      </c>
      <c r="G125" s="5">
        <v>240.43</v>
      </c>
      <c r="H125" s="59">
        <v>329.65100000000001</v>
      </c>
      <c r="I125" s="59">
        <f>'[1]ÜDM sahələr üzrə'!AC149</f>
        <v>343.55999999999995</v>
      </c>
      <c r="J125" s="5">
        <f>'[1]ÜDM sahələr üzrə'!AD149</f>
        <v>387.09999999999997</v>
      </c>
      <c r="K125" s="6">
        <f>'[1]ÜDM sahələr üzrə'!AE149</f>
        <v>416.96</v>
      </c>
      <c r="L125" s="5">
        <f>'[1]ÜDM sahələr üzrə'!AF149</f>
        <v>1067.7</v>
      </c>
      <c r="M125" s="5">
        <f>'[1]ÜDM sahələr üzrə'!AG149</f>
        <v>1112.2</v>
      </c>
      <c r="N125" s="5">
        <f>'[1]ÜDM sahələr üzrə'!AH149</f>
        <v>996</v>
      </c>
      <c r="O125" s="5">
        <f>'[1]ÜDM sahələr üzrə'!AI149</f>
        <v>955.7</v>
      </c>
      <c r="P125" s="59">
        <f>'[1]ÜDM sahələr üzrə'!AJ149</f>
        <v>972.98045071611261</v>
      </c>
      <c r="Q125" s="5">
        <f>'[1]ÜDM sahələr üzrə'!AK149</f>
        <v>983.29486370850645</v>
      </c>
      <c r="R125" s="5">
        <f>'[1]ÜDM sahələr üzrə'!AL149</f>
        <v>1024.3056311244422</v>
      </c>
      <c r="S125" s="5">
        <f>'[1]ÜDM sahələr üzrə'!AM149</f>
        <v>1070.2640112969416</v>
      </c>
      <c r="T125" s="6">
        <f>'[1]ÜDM sahələr üzrə'!AN149</f>
        <v>1108.5097654494693</v>
      </c>
      <c r="U125" s="6">
        <f>'[1]ÜDM sahələr üzrə'!AO149</f>
        <v>1015.5281239840915</v>
      </c>
    </row>
    <row r="126" spans="1:21" customFormat="1" ht="14" hidden="1">
      <c r="A126" s="70" t="s">
        <v>71</v>
      </c>
      <c r="B126" s="4" t="s">
        <v>72</v>
      </c>
      <c r="C126" s="153" t="s">
        <v>12</v>
      </c>
      <c r="D126" s="59">
        <v>70.5</v>
      </c>
      <c r="E126" s="5">
        <v>88</v>
      </c>
      <c r="F126" s="5">
        <v>126.1</v>
      </c>
      <c r="G126" s="5">
        <v>133.37</v>
      </c>
      <c r="H126" s="59">
        <v>183.84899999999999</v>
      </c>
      <c r="I126" s="59">
        <f>'[1]ÜDM sahələr üzrə'!AC150</f>
        <v>185.74</v>
      </c>
      <c r="J126" s="5">
        <f>'[1]ÜDM sahələr üzrə'!AD150</f>
        <v>214.3</v>
      </c>
      <c r="K126" s="6">
        <f>'[1]ÜDM sahələr üzrə'!AE150</f>
        <v>238.44</v>
      </c>
      <c r="L126" s="5">
        <f>'[1]ÜDM sahələr üzrə'!AF150</f>
        <v>642.70000000000005</v>
      </c>
      <c r="M126" s="5">
        <f>'[1]ÜDM sahələr üzrə'!AG150</f>
        <v>715.2</v>
      </c>
      <c r="N126" s="5">
        <f>'[1]ÜDM sahələr üzrə'!AH150</f>
        <v>626.20000000000005</v>
      </c>
      <c r="O126" s="5">
        <f>'[1]ÜDM sahələr üzrə'!AI150</f>
        <v>600.79999999999995</v>
      </c>
      <c r="P126" s="59">
        <f>'[1]ÜDM sahələr üzrə'!AJ150</f>
        <v>611.66334078710941</v>
      </c>
      <c r="Q126" s="5">
        <f>'[1]ÜDM sahələr üzrə'!AK150</f>
        <v>618.14748782679794</v>
      </c>
      <c r="R126" s="5">
        <f>'[1]ÜDM sahələr üzrə'!AL150</f>
        <v>643.92887221886042</v>
      </c>
      <c r="S126" s="5">
        <f>'[1]ÜDM sahələr üzrə'!AM150</f>
        <v>672.82056920289062</v>
      </c>
      <c r="T126" s="6">
        <f>'[1]ÜDM sahələr üzrə'!AN150</f>
        <v>696.86373033592258</v>
      </c>
      <c r="U126" s="6">
        <f>'[1]ÜDM sahələr üzrə'!AO150</f>
        <v>638.4108997485007</v>
      </c>
    </row>
    <row r="127" spans="1:21" customFormat="1" ht="14" hidden="1">
      <c r="A127" s="70"/>
      <c r="B127" s="4" t="s">
        <v>73</v>
      </c>
      <c r="C127" s="153" t="s">
        <v>6</v>
      </c>
      <c r="D127" s="59">
        <v>35.197204193709439</v>
      </c>
      <c r="E127" s="5">
        <v>35.59870550161812</v>
      </c>
      <c r="F127" s="5">
        <v>35.631534331732126</v>
      </c>
      <c r="G127" s="5">
        <v>35.679507758159446</v>
      </c>
      <c r="H127" s="59">
        <v>35.803115871470297</v>
      </c>
      <c r="I127" s="59">
        <f>'[1]ÜDM sahələr üzrə'!AC151</f>
        <v>35.091630455318352</v>
      </c>
      <c r="J127" s="5">
        <f>'[1]ÜDM sahələr üzrə'!AD151</f>
        <v>35.633521782507486</v>
      </c>
      <c r="K127" s="6">
        <f>'[1]ÜDM sahələr üzrə'!AE151</f>
        <v>36.380836130607264</v>
      </c>
      <c r="L127" s="5">
        <f>'[1]ÜDM sahələr üzrə'!AF151</f>
        <v>37.57600561272217</v>
      </c>
      <c r="M127" s="5">
        <f>'[1]ÜDM sahələr üzrə'!AG151</f>
        <v>39.137572507387546</v>
      </c>
      <c r="N127" s="5">
        <f>'[1]ÜDM sahələr üzrə'!AH151</f>
        <v>38.601898656145977</v>
      </c>
      <c r="O127" s="5">
        <f>'[1]ÜDM sahələr üzrə'!AI151</f>
        <v>38.599421779633794</v>
      </c>
      <c r="P127" s="59">
        <f>'[1]ÜDM sahələr üzrə'!AJ151</f>
        <v>38.599421779633794</v>
      </c>
      <c r="Q127" s="5">
        <f>'[1]ÜDM sahələr üzrə'!AK151</f>
        <v>38.599421779633794</v>
      </c>
      <c r="R127" s="5">
        <f>'[1]ÜDM sahələr üzrə'!AL151</f>
        <v>38.599421779633794</v>
      </c>
      <c r="S127" s="5">
        <f>'[1]ÜDM sahələr üzrə'!AM151</f>
        <v>38.599421779633794</v>
      </c>
      <c r="T127" s="6">
        <f>'[1]ÜDM sahələr üzrə'!AN151</f>
        <v>38.599421779633794</v>
      </c>
      <c r="U127" s="6">
        <f>'[1]ÜDM sahələr üzrə'!AO151</f>
        <v>38.599421779633794</v>
      </c>
    </row>
    <row r="128" spans="1:21" customFormat="1" ht="14" hidden="1">
      <c r="A128" s="70"/>
      <c r="B128" s="4" t="s">
        <v>16</v>
      </c>
      <c r="C128" s="153" t="s">
        <v>6</v>
      </c>
      <c r="D128" s="59">
        <v>0.7</v>
      </c>
      <c r="E128" s="5">
        <v>40</v>
      </c>
      <c r="F128" s="5">
        <v>100.5</v>
      </c>
      <c r="G128" s="5">
        <v>-11.2</v>
      </c>
      <c r="H128" s="59">
        <v>4.9489999999999998</v>
      </c>
      <c r="I128" s="59">
        <f>'[1]ÜDM sahələr üzrə'!AC152</f>
        <v>1.41</v>
      </c>
      <c r="J128" s="5">
        <f>'[1]ÜDM sahələr üzrə'!AD152</f>
        <v>25.6</v>
      </c>
      <c r="K128" s="6">
        <f>'[1]ÜDM sahələr üzrə'!AE152</f>
        <v>18.600000000000001</v>
      </c>
      <c r="L128" s="5">
        <f>'[1]ÜDM sahələr üzrə'!AF152</f>
        <v>81.2</v>
      </c>
      <c r="M128" s="5">
        <f>'[1]ÜDM sahələr üzrə'!AG152</f>
        <v>4.9000000000000004</v>
      </c>
      <c r="N128" s="5">
        <f>'[1]ÜDM sahələr üzrə'!AH152</f>
        <v>7.56</v>
      </c>
      <c r="O128" s="5">
        <f>'[1]ÜDM sahələr üzrə'!AI152</f>
        <v>6.5</v>
      </c>
      <c r="P128" s="59">
        <f>'[1]ÜDM sahələr üzrə'!AJ152</f>
        <v>3.6448679772484525</v>
      </c>
      <c r="Q128" s="5">
        <f>'[1]ÜDM sahələr üzrə'!AK152</f>
        <v>2.5319575907960683</v>
      </c>
      <c r="R128" s="5">
        <f>'[1]ÜDM sahələr üzrə'!AL152</f>
        <v>2.9484765338549437</v>
      </c>
      <c r="S128" s="5">
        <f>'[1]ÜDM sahələr üzrə'!AM152</f>
        <v>1.1520406762124651</v>
      </c>
      <c r="T128" s="6">
        <f>'[1]ÜDM sahələr üzrə'!AN152</f>
        <v>2.0683930505182957</v>
      </c>
      <c r="U128" s="6">
        <f>'[1]ÜDM sahələr üzrə'!AO152</f>
        <v>-8.6509308590035658</v>
      </c>
    </row>
    <row r="129" spans="1:21" customFormat="1" ht="14" hidden="1">
      <c r="A129" s="71"/>
      <c r="B129" s="9" t="s">
        <v>56</v>
      </c>
      <c r="C129" s="154" t="s">
        <v>6</v>
      </c>
      <c r="D129" s="60">
        <v>-6.1529081949144029</v>
      </c>
      <c r="E129" s="10">
        <v>-10.840932117527856</v>
      </c>
      <c r="F129" s="10">
        <v>-28.530945363863069</v>
      </c>
      <c r="G129" s="10">
        <v>19.105028898843329</v>
      </c>
      <c r="H129" s="60">
        <v>31.348408816252288</v>
      </c>
      <c r="I129" s="59">
        <f>'[1]ÜDM sahələr üzrə'!AC153</f>
        <v>-0.37613501378463354</v>
      </c>
      <c r="J129" s="10">
        <f>'[1]ÜDM sahələr üzrə'!AD153</f>
        <v>-8.1398626530202165</v>
      </c>
      <c r="K129" s="11">
        <f>'[1]ÜDM sahələr üzrə'!AE153</f>
        <v>-6.1850064408297527</v>
      </c>
      <c r="L129" s="10">
        <f>'[1]ÜDM sahələr üzrə'!AF153</f>
        <v>48.754801722602394</v>
      </c>
      <c r="M129" s="10">
        <f>'[1]ÜDM sahələr üzrə'!AG153</f>
        <v>6.0824930809800151</v>
      </c>
      <c r="N129" s="10">
        <f>'[1]ÜDM sahələr üzrə'!AH153</f>
        <v>-18.59805837520166</v>
      </c>
      <c r="O129" s="10">
        <f>'[1]ÜDM sahələr üzrə'!AI153</f>
        <v>-9.9119362186105064</v>
      </c>
      <c r="P129" s="60">
        <f>'[1]ÜDM sahələr üzrə'!AJ153</f>
        <v>-1.7721302332585225</v>
      </c>
      <c r="Q129" s="10">
        <f>'[1]ÜDM sahələr üzrə'!AK153</f>
        <v>-1.4355263726294964</v>
      </c>
      <c r="R129" s="10">
        <f>'[1]ÜDM sahələr üzrə'!AL153</f>
        <v>1.1872668647380493</v>
      </c>
      <c r="S129" s="10">
        <f>'[1]ÜDM sahələr üzrə'!AM153</f>
        <v>3.2967631738009828</v>
      </c>
      <c r="T129" s="11">
        <f>'[1]ÜDM sahələr üzrə'!AN153</f>
        <v>1.4745943683034142</v>
      </c>
      <c r="U129" s="11">
        <f>'[1]ÜDM sahələr üzrə'!AO153</f>
        <v>0.2878464818763149</v>
      </c>
    </row>
    <row r="130" spans="1:21" customFormat="1" ht="14" hidden="1">
      <c r="A130" s="69" t="s">
        <v>102</v>
      </c>
      <c r="B130" s="26" t="s">
        <v>103</v>
      </c>
      <c r="C130" s="164"/>
      <c r="D130" s="40"/>
      <c r="E130" s="18"/>
      <c r="F130" s="18"/>
      <c r="G130" s="18"/>
      <c r="H130" s="40"/>
      <c r="I130" s="94"/>
      <c r="J130" s="18"/>
      <c r="K130" s="19"/>
      <c r="L130" s="18"/>
      <c r="M130" s="18"/>
      <c r="N130" s="18"/>
      <c r="O130" s="18"/>
      <c r="P130" s="40"/>
      <c r="Q130" s="18"/>
      <c r="R130" s="18"/>
      <c r="S130" s="18"/>
      <c r="T130" s="19"/>
      <c r="U130" s="19"/>
    </row>
    <row r="131" spans="1:21" customFormat="1" ht="14" hidden="1">
      <c r="A131" s="70" t="s">
        <v>67</v>
      </c>
      <c r="B131" s="4" t="s">
        <v>68</v>
      </c>
      <c r="C131" s="153" t="s">
        <v>12</v>
      </c>
      <c r="D131" s="59">
        <v>3.2</v>
      </c>
      <c r="E131" s="5">
        <v>2.7</v>
      </c>
      <c r="F131" s="5">
        <v>3</v>
      </c>
      <c r="G131" s="5">
        <v>1</v>
      </c>
      <c r="H131" s="59">
        <v>1.3</v>
      </c>
      <c r="I131" s="59">
        <f>'[1]ÜDM sahələr üzrə'!AC155</f>
        <v>1.4</v>
      </c>
      <c r="J131" s="5">
        <f>'[1]ÜDM sahələr üzrə'!AD155</f>
        <v>3.5</v>
      </c>
      <c r="K131" s="6">
        <f>'[1]ÜDM sahələr üzrə'!AE155</f>
        <v>7.2</v>
      </c>
      <c r="L131" s="5">
        <f>'[1]ÜDM sahələr üzrə'!AF155</f>
        <v>10.4</v>
      </c>
      <c r="M131" s="5">
        <f>'[1]ÜDM sahələr üzrə'!AG155</f>
        <v>16.399999999999999</v>
      </c>
      <c r="N131" s="5">
        <f>'[1]ÜDM sahələr üzrə'!AH155</f>
        <v>21.1</v>
      </c>
      <c r="O131" s="5">
        <f>'[1]ÜDM sahələr üzrə'!AI155</f>
        <v>19.8</v>
      </c>
      <c r="P131" s="59">
        <f>'[1]ÜDM sahələr üzrə'!AJ155</f>
        <v>22.642946130221208</v>
      </c>
      <c r="Q131" s="5">
        <f>'[1]ÜDM sahələr üzrə'!AK155</f>
        <v>27.235557186997561</v>
      </c>
      <c r="R131" s="5">
        <f>'[1]ÜDM sahələr üzrə'!AL155</f>
        <v>34.309531170308709</v>
      </c>
      <c r="S131" s="5">
        <f>'[1]ÜDM sahələr üzrə'!AM155</f>
        <v>43.967395051931867</v>
      </c>
      <c r="T131" s="6">
        <f>'[1]ÜDM sahələr üzrə'!AN155</f>
        <v>53.523389370924171</v>
      </c>
      <c r="U131" s="6">
        <f>'[1]ÜDM sahələr üzrə'!AO155</f>
        <v>65.781084291411716</v>
      </c>
    </row>
    <row r="132" spans="1:21" customFormat="1" ht="14" hidden="1">
      <c r="A132" s="70" t="s">
        <v>69</v>
      </c>
      <c r="B132" s="4" t="s">
        <v>70</v>
      </c>
      <c r="C132" s="153" t="s">
        <v>12</v>
      </c>
      <c r="D132" s="59">
        <v>2.1</v>
      </c>
      <c r="E132" s="5">
        <v>1.794</v>
      </c>
      <c r="F132" s="5">
        <v>1.9085184124296932</v>
      </c>
      <c r="G132" s="5">
        <v>0.69330000000000003</v>
      </c>
      <c r="H132" s="59">
        <v>0.9</v>
      </c>
      <c r="I132" s="59">
        <f>'[1]ÜDM sahələr üzrə'!AC156</f>
        <v>1.0036999999999998</v>
      </c>
      <c r="J132" s="5">
        <f>'[1]ÜDM sahələr üzrə'!AD156</f>
        <v>2.3250000000000002</v>
      </c>
      <c r="K132" s="6">
        <f>'[1]ÜDM sahələr üzrə'!AE156</f>
        <v>4.8070000000000004</v>
      </c>
      <c r="L132" s="5">
        <f>'[1]ÜDM sahələr üzrə'!AF156</f>
        <v>6.8689999999999998</v>
      </c>
      <c r="M132" s="5">
        <f>'[1]ÜDM sahələr üzrə'!AG156</f>
        <v>10.009999999999998</v>
      </c>
      <c r="N132" s="5">
        <f>'[1]ÜDM sahələr üzrə'!AH156</f>
        <v>12.830000000000002</v>
      </c>
      <c r="O132" s="5">
        <f>'[1]ÜDM sahələr üzrə'!AI156</f>
        <v>12.040000000000001</v>
      </c>
      <c r="P132" s="59">
        <f>'[1]ÜDM sahələr üzrə'!AJ156</f>
        <v>13.768740980195119</v>
      </c>
      <c r="Q132" s="5">
        <f>'[1]ÜDM sahələr üzrə'!AK156</f>
        <v>16.561419622800535</v>
      </c>
      <c r="R132" s="5">
        <f>'[1]ÜDM sahələr üzrə'!AL156</f>
        <v>20.862967438914993</v>
      </c>
      <c r="S132" s="5">
        <f>'[1]ÜDM sahələr üzrə'!AM156</f>
        <v>26.735729112386853</v>
      </c>
      <c r="T132" s="6">
        <f>'[1]ÜDM sahələr üzrə'!AN156</f>
        <v>32.546545859895303</v>
      </c>
      <c r="U132" s="6">
        <f>'[1]ÜDM sahələr üzrə'!AO156</f>
        <v>40.000214892353384</v>
      </c>
    </row>
    <row r="133" spans="1:21" customFormat="1" ht="14" hidden="1">
      <c r="A133" s="70" t="s">
        <v>71</v>
      </c>
      <c r="B133" s="4" t="s">
        <v>72</v>
      </c>
      <c r="C133" s="153" t="s">
        <v>12</v>
      </c>
      <c r="D133" s="59">
        <v>1.1000000000000001</v>
      </c>
      <c r="E133" s="5">
        <v>0.90600000000000003</v>
      </c>
      <c r="F133" s="5">
        <v>1.0914815875703068</v>
      </c>
      <c r="G133" s="5">
        <v>0.30669999999999997</v>
      </c>
      <c r="H133" s="59">
        <v>0.4</v>
      </c>
      <c r="I133" s="59">
        <f>'[1]ÜDM sahələr üzrə'!AC157</f>
        <v>0.39629999999999999</v>
      </c>
      <c r="J133" s="5">
        <f>'[1]ÜDM sahələr üzrə'!AD157</f>
        <v>1.175</v>
      </c>
      <c r="K133" s="6">
        <f>'[1]ÜDM sahələr üzrə'!AE157</f>
        <v>2.3929999999999998</v>
      </c>
      <c r="L133" s="5">
        <f>'[1]ÜDM sahələr üzrə'!AF157</f>
        <v>3.5310000000000001</v>
      </c>
      <c r="M133" s="5">
        <f>'[1]ÜDM sahələr üzrə'!AG157</f>
        <v>6.39</v>
      </c>
      <c r="N133" s="5">
        <f>'[1]ÜDM sahələr üzrə'!AH157</f>
        <v>8.27</v>
      </c>
      <c r="O133" s="5">
        <f>'[1]ÜDM sahələr üzrə'!AI157</f>
        <v>7.76</v>
      </c>
      <c r="P133" s="59">
        <f>'[1]ÜDM sahələr üzrə'!AJ157</f>
        <v>8.8742051500260892</v>
      </c>
      <c r="Q133" s="5">
        <f>'[1]ÜDM sahələr üzrə'!AK157</f>
        <v>10.674137564197023</v>
      </c>
      <c r="R133" s="5">
        <f>'[1]ÜDM sahələr üzrə'!AL157</f>
        <v>13.446563731393717</v>
      </c>
      <c r="S133" s="5">
        <f>'[1]ÜDM sahələr üzrə'!AM157</f>
        <v>17.231665939545014</v>
      </c>
      <c r="T133" s="6">
        <f>'[1]ÜDM sahələr üzrə'!AN157</f>
        <v>20.976843511028864</v>
      </c>
      <c r="U133" s="6">
        <f>'[1]ÜDM sahələr üzrə'!AO157</f>
        <v>25.780869399058329</v>
      </c>
    </row>
    <row r="134" spans="1:21" customFormat="1" ht="14" hidden="1">
      <c r="A134" s="70"/>
      <c r="B134" s="4" t="s">
        <v>73</v>
      </c>
      <c r="C134" s="153" t="s">
        <v>6</v>
      </c>
      <c r="D134" s="59">
        <v>34.375</v>
      </c>
      <c r="E134" s="5">
        <v>33.555555555555557</v>
      </c>
      <c r="F134" s="5">
        <v>36.382719585676895</v>
      </c>
      <c r="G134" s="5">
        <v>30.669999999999998</v>
      </c>
      <c r="H134" s="59">
        <v>30.76923076923077</v>
      </c>
      <c r="I134" s="59">
        <f>'[1]ÜDM sahələr üzrə'!AC158</f>
        <v>28.307142857142857</v>
      </c>
      <c r="J134" s="5">
        <f>'[1]ÜDM sahələr üzrə'!AD158</f>
        <v>33.571428571428577</v>
      </c>
      <c r="K134" s="6">
        <f>'[1]ÜDM sahələr üzrə'!AE158</f>
        <v>33.236111111111107</v>
      </c>
      <c r="L134" s="5">
        <f>'[1]ÜDM sahələr üzrə'!AF158</f>
        <v>33.95192307692308</v>
      </c>
      <c r="M134" s="5">
        <f>'[1]ÜDM sahələr üzrə'!AG158</f>
        <v>38.963414634146346</v>
      </c>
      <c r="N134" s="5">
        <f>'[1]ÜDM sahələr üzrə'!AH158</f>
        <v>39.194312796208521</v>
      </c>
      <c r="O134" s="5">
        <f>'[1]ÜDM sahələr üzrə'!AI158</f>
        <v>39.19191919191919</v>
      </c>
      <c r="P134" s="59">
        <f>'[1]ÜDM sahələr üzrə'!AJ158</f>
        <v>39.19191919191919</v>
      </c>
      <c r="Q134" s="5">
        <f>'[1]ÜDM sahələr üzrə'!AK158</f>
        <v>39.19191919191919</v>
      </c>
      <c r="R134" s="5">
        <f>'[1]ÜDM sahələr üzrə'!AL158</f>
        <v>39.19191919191919</v>
      </c>
      <c r="S134" s="5">
        <f>'[1]ÜDM sahələr üzrə'!AM158</f>
        <v>39.19191919191919</v>
      </c>
      <c r="T134" s="6">
        <f>'[1]ÜDM sahələr üzrə'!AN158</f>
        <v>39.19191919191919</v>
      </c>
      <c r="U134" s="6">
        <f>'[1]ÜDM sahələr üzrə'!AO158</f>
        <v>39.19191919191919</v>
      </c>
    </row>
    <row r="135" spans="1:21" customFormat="1" ht="14" hidden="1">
      <c r="A135" s="70"/>
      <c r="B135" s="4" t="s">
        <v>16</v>
      </c>
      <c r="C135" s="153" t="s">
        <v>6</v>
      </c>
      <c r="D135" s="59">
        <v>79</v>
      </c>
      <c r="E135" s="5">
        <v>-14.4</v>
      </c>
      <c r="F135" s="5">
        <v>11</v>
      </c>
      <c r="G135" s="5">
        <v>-68</v>
      </c>
      <c r="H135" s="59">
        <v>148.80000000000001</v>
      </c>
      <c r="I135" s="59">
        <f>'[1]ÜDM sahələr üzrə'!AC159</f>
        <v>6.5</v>
      </c>
      <c r="J135" s="5">
        <f>'[1]ÜDM sahələr üzrə'!AD159</f>
        <v>145.34</v>
      </c>
      <c r="K135" s="6">
        <f>'[1]ÜDM sahələr üzrə'!AE159</f>
        <v>89.84</v>
      </c>
      <c r="L135" s="5">
        <f>'[1]ÜDM sahələr üzrə'!AF159</f>
        <v>32.4</v>
      </c>
      <c r="M135" s="5">
        <f>'[1]ÜDM sahələr üzrə'!AG159</f>
        <v>40.049999999999997</v>
      </c>
      <c r="N135" s="5">
        <f>'[1]ÜDM sahələr üzrə'!AH159</f>
        <v>26.2</v>
      </c>
      <c r="O135" s="5">
        <f>'[1]ÜDM sahələr üzrə'!AI159</f>
        <v>-9.65</v>
      </c>
      <c r="P135" s="59">
        <f>'[1]ÜDM sahələr üzrə'!AJ159</f>
        <v>12.400000000000006</v>
      </c>
      <c r="Q135" s="5">
        <f>'[1]ÜDM sahələr üzrə'!AK159</f>
        <v>17.100000000000023</v>
      </c>
      <c r="R135" s="5">
        <f>'[1]ÜDM sahələr üzrə'!AL159</f>
        <v>19.900000000000006</v>
      </c>
      <c r="S135" s="5">
        <f>'[1]ÜDM sahələr üzrə'!AM159</f>
        <v>20.100000000000009</v>
      </c>
      <c r="T135" s="6">
        <f>'[1]ÜDM sahələr üzrə'!AN159</f>
        <v>13.700000000000003</v>
      </c>
      <c r="U135" s="6">
        <f>'[1]ÜDM sahələr üzrə'!AO159</f>
        <v>14.643171876108113</v>
      </c>
    </row>
    <row r="136" spans="1:21" customFormat="1" ht="14" hidden="1">
      <c r="A136" s="71"/>
      <c r="B136" s="9" t="s">
        <v>56</v>
      </c>
      <c r="C136" s="154" t="s">
        <v>6</v>
      </c>
      <c r="D136" s="60">
        <v>22.905027932960891</v>
      </c>
      <c r="E136" s="10">
        <v>0.2</v>
      </c>
      <c r="F136" s="10">
        <v>8.5338571256991997</v>
      </c>
      <c r="G136" s="10">
        <v>-12.189311215635769</v>
      </c>
      <c r="H136" s="60">
        <v>-47.580142099750802</v>
      </c>
      <c r="I136" s="59">
        <f>'[1]ÜDM sahələr üzrə'!AC160</f>
        <v>-10.678666333092167</v>
      </c>
      <c r="J136" s="10">
        <f>'[1]ÜDM sahələr üzrə'!AD160</f>
        <v>20.84966012241587</v>
      </c>
      <c r="K136" s="11">
        <f>'[1]ÜDM sahələr üzrə'!AE160</f>
        <v>7.2795904277734422</v>
      </c>
      <c r="L136" s="10">
        <f>'[1]ÜDM sahələr üzrə'!AF160</f>
        <v>11.446653949144235</v>
      </c>
      <c r="M136" s="10">
        <f>'[1]ÜDM sahələr üzrə'!AG160</f>
        <v>29.217111136118689</v>
      </c>
      <c r="N136" s="10">
        <f>'[1]ÜDM sahələr üzrə'!AH160</f>
        <v>2.5522743787960991</v>
      </c>
      <c r="O136" s="10">
        <f>'[1]ÜDM sahələr üzrə'!AI160</f>
        <v>3.8551541800695901</v>
      </c>
      <c r="P136" s="60">
        <f>'[1]ÜDM sahələr üzrə'!AJ160</f>
        <v>1.7422720542668912</v>
      </c>
      <c r="Q136" s="10">
        <f>'[1]ÜDM sahələr üzrə'!AK160</f>
        <v>2.7179719422707933</v>
      </c>
      <c r="R136" s="10">
        <f>'[1]ÜDM sahələr üzrə'!AL160</f>
        <v>5.0653075085369039</v>
      </c>
      <c r="S136" s="10">
        <f>'[1]ÜDM sahələr üzrə'!AM160</f>
        <v>6.7020945420822642</v>
      </c>
      <c r="T136" s="11">
        <f>'[1]ÜDM sahələr üzrə'!AN160</f>
        <v>7.0662044612957544</v>
      </c>
      <c r="U136" s="11">
        <f>'[1]ÜDM sahələr üzrə'!AO160</f>
        <v>7.2035648256658931</v>
      </c>
    </row>
    <row r="137" spans="1:21" customFormat="1" ht="28" hidden="1">
      <c r="A137" s="69" t="s">
        <v>104</v>
      </c>
      <c r="B137" s="26" t="s">
        <v>105</v>
      </c>
      <c r="C137" s="164"/>
      <c r="D137" s="40"/>
      <c r="E137" s="18"/>
      <c r="F137" s="18"/>
      <c r="G137" s="18"/>
      <c r="H137" s="40"/>
      <c r="I137" s="94"/>
      <c r="J137" s="18"/>
      <c r="K137" s="19"/>
      <c r="L137" s="18"/>
      <c r="M137" s="18"/>
      <c r="N137" s="18"/>
      <c r="O137" s="18"/>
      <c r="P137" s="40"/>
      <c r="Q137" s="18"/>
      <c r="R137" s="18"/>
      <c r="S137" s="18"/>
      <c r="T137" s="19"/>
      <c r="U137" s="19"/>
    </row>
    <row r="138" spans="1:21" customFormat="1" ht="14" hidden="1">
      <c r="A138" s="70" t="s">
        <v>67</v>
      </c>
      <c r="B138" s="4" t="s">
        <v>68</v>
      </c>
      <c r="C138" s="153" t="s">
        <v>12</v>
      </c>
      <c r="D138" s="59">
        <v>74</v>
      </c>
      <c r="E138" s="5">
        <v>69</v>
      </c>
      <c r="F138" s="5">
        <v>94.4</v>
      </c>
      <c r="G138" s="5">
        <v>253.04185918523623</v>
      </c>
      <c r="H138" s="59">
        <v>304.2</v>
      </c>
      <c r="I138" s="59">
        <f>'[1]ÜDM sahələr üzrə'!AC162</f>
        <v>334.3</v>
      </c>
      <c r="J138" s="5">
        <f>'[1]ÜDM sahələr üzrə'!AD162</f>
        <v>391.5</v>
      </c>
      <c r="K138" s="6">
        <f>'[1]ÜDM sahələr üzrə'!AE162</f>
        <v>375.3</v>
      </c>
      <c r="L138" s="5">
        <f>'[1]ÜDM sahələr üzrə'!AF162</f>
        <v>393.3</v>
      </c>
      <c r="M138" s="5">
        <f>'[1]ÜDM sahələr üzrə'!AG162</f>
        <v>484</v>
      </c>
      <c r="N138" s="5">
        <f>'[1]ÜDM sahələr üzrə'!AH162</f>
        <v>632.5</v>
      </c>
      <c r="O138" s="5">
        <f>'[1]ÜDM sahələr üzrə'!AI162</f>
        <v>532.79999999999995</v>
      </c>
      <c r="P138" s="59">
        <f>'[1]ÜDM sahələr üzrə'!AJ162</f>
        <v>619.95566666805621</v>
      </c>
      <c r="Q138" s="5">
        <f>'[1]ÜDM sahələr üzrə'!AK162</f>
        <v>670.53378823038383</v>
      </c>
      <c r="R138" s="5">
        <f>'[1]ÜDM sahələr üzrə'!AL162</f>
        <v>757.73885294535387</v>
      </c>
      <c r="S138" s="5">
        <f>'[1]ÜDM sahələr üzrə'!AM162</f>
        <v>839.2944998784094</v>
      </c>
      <c r="T138" s="6">
        <f>'[1]ÜDM sahələr üzrə'!AN162</f>
        <v>912.03108054067332</v>
      </c>
      <c r="U138" s="6">
        <f>'[1]ÜDM sahələr üzrə'!AO162</f>
        <v>941.24422825129693</v>
      </c>
    </row>
    <row r="139" spans="1:21" customFormat="1" ht="14" hidden="1">
      <c r="A139" s="70" t="s">
        <v>69</v>
      </c>
      <c r="B139" s="4" t="s">
        <v>70</v>
      </c>
      <c r="C139" s="153" t="s">
        <v>12</v>
      </c>
      <c r="D139" s="59">
        <v>56.951000000000001</v>
      </c>
      <c r="E139" s="5">
        <v>52.84</v>
      </c>
      <c r="F139" s="5">
        <v>72.240000000000009</v>
      </c>
      <c r="G139" s="5">
        <v>193.32398041752049</v>
      </c>
      <c r="H139" s="59">
        <v>232.39999999999998</v>
      </c>
      <c r="I139" s="59">
        <f>'[1]ÜDM sahələr üzrə'!AC163</f>
        <v>259.3</v>
      </c>
      <c r="J139" s="5">
        <f>'[1]ÜDM sahələr üzrə'!AD163</f>
        <v>299.60000000000002</v>
      </c>
      <c r="K139" s="6">
        <f>'[1]ÜDM sahələr üzrə'!AE163</f>
        <v>281.60000000000002</v>
      </c>
      <c r="L139" s="5">
        <f>'[1]ÜDM sahələr üzrə'!AF163</f>
        <v>310.09000000000003</v>
      </c>
      <c r="M139" s="5">
        <f>'[1]ÜDM sahələr üzrə'!AG163</f>
        <v>364.13</v>
      </c>
      <c r="N139" s="5">
        <f>'[1]ÜDM sahələr üzrə'!AH163</f>
        <v>462.4</v>
      </c>
      <c r="O139" s="5">
        <f>'[1]ÜDM sahələr üzrə'!AI163</f>
        <v>389.49999999999994</v>
      </c>
      <c r="P139" s="59">
        <f>'[1]ÜDM sahələr üzrə'!AJ163</f>
        <v>453.21458740091566</v>
      </c>
      <c r="Q139" s="5">
        <f>'[1]ÜDM sahələr üzrə'!AK163</f>
        <v>490.18939661361583</v>
      </c>
      <c r="R139" s="5">
        <f>'[1]ÜDM sahələr üzrə'!AL163</f>
        <v>553.94009613779144</v>
      </c>
      <c r="S139" s="5">
        <f>'[1]ÜDM sahələr üzrə'!AM163</f>
        <v>613.56082526771854</v>
      </c>
      <c r="T139" s="6">
        <f>'[1]ÜDM sahələr üzrə'!AN163</f>
        <v>666.73443294030074</v>
      </c>
      <c r="U139" s="6">
        <f>'[1]ÜDM sahələr üzrə'!AO163</f>
        <v>688.09051596073596</v>
      </c>
    </row>
    <row r="140" spans="1:21" customFormat="1" ht="14" hidden="1">
      <c r="A140" s="70" t="s">
        <v>71</v>
      </c>
      <c r="B140" s="4" t="s">
        <v>72</v>
      </c>
      <c r="C140" s="153" t="s">
        <v>12</v>
      </c>
      <c r="D140" s="59">
        <v>17.048999999999999</v>
      </c>
      <c r="E140" s="5">
        <v>16.16</v>
      </c>
      <c r="F140" s="5">
        <v>22.16</v>
      </c>
      <c r="G140" s="5">
        <v>59.717878767715746</v>
      </c>
      <c r="H140" s="59">
        <v>71.8</v>
      </c>
      <c r="I140" s="59">
        <f>'[1]ÜDM sahələr üzrə'!AC164</f>
        <v>75</v>
      </c>
      <c r="J140" s="5">
        <f>'[1]ÜDM sahələr üzrə'!AD164</f>
        <v>91.9</v>
      </c>
      <c r="K140" s="6">
        <f>'[1]ÜDM sahələr üzrə'!AE164</f>
        <v>93.699999999999989</v>
      </c>
      <c r="L140" s="5">
        <f>'[1]ÜDM sahələr üzrə'!AF164</f>
        <v>83.21</v>
      </c>
      <c r="M140" s="5">
        <f>'[1]ÜDM sahələr üzrə'!AG164</f>
        <v>119.87</v>
      </c>
      <c r="N140" s="5">
        <f>'[1]ÜDM sahələr üzrə'!AH164</f>
        <v>170.1</v>
      </c>
      <c r="O140" s="5">
        <f>'[1]ÜDM sahələr üzrə'!AI164</f>
        <v>143.30000000000001</v>
      </c>
      <c r="P140" s="59">
        <f>'[1]ÜDM sahələr üzrə'!AJ164</f>
        <v>166.74107926714052</v>
      </c>
      <c r="Q140" s="5">
        <f>'[1]ÜDM sahələr üzrə'!AK164</f>
        <v>180.34439161676804</v>
      </c>
      <c r="R140" s="5">
        <f>'[1]ÜDM sahələr üzrə'!AL164</f>
        <v>203.7987568075624</v>
      </c>
      <c r="S140" s="5">
        <f>'[1]ÜDM sahələr üzrə'!AM164</f>
        <v>225.73367461069085</v>
      </c>
      <c r="T140" s="6">
        <f>'[1]ÜDM sahələr üzrə'!AN164</f>
        <v>245.29664760037261</v>
      </c>
      <c r="U140" s="6">
        <f>'[1]ÜDM sahələr üzrə'!AO164</f>
        <v>253.15371229056095</v>
      </c>
    </row>
    <row r="141" spans="1:21" customFormat="1" ht="14" hidden="1">
      <c r="A141" s="70"/>
      <c r="B141" s="4" t="s">
        <v>73</v>
      </c>
      <c r="C141" s="153" t="s">
        <v>6</v>
      </c>
      <c r="D141" s="59">
        <v>23.039189189189187</v>
      </c>
      <c r="E141" s="5">
        <v>23.420289855072465</v>
      </c>
      <c r="F141" s="5">
        <v>23.474576271186439</v>
      </c>
      <c r="G141" s="5">
        <v>23.599999999999998</v>
      </c>
      <c r="H141" s="59">
        <v>23.602892833662064</v>
      </c>
      <c r="I141" s="59">
        <f>'[1]ÜDM sahələr üzrə'!AC165</f>
        <v>22.434938677834278</v>
      </c>
      <c r="J141" s="5">
        <f>'[1]ÜDM sahələr üzrə'!AD165</f>
        <v>23.473818646232441</v>
      </c>
      <c r="K141" s="6">
        <f>'[1]ÜDM sahələr üzrə'!AE165</f>
        <v>24.96669331201705</v>
      </c>
      <c r="L141" s="5">
        <f>'[1]ÜDM sahələr üzrə'!AF165</f>
        <v>21.156877701500125</v>
      </c>
      <c r="M141" s="5">
        <f>'[1]ÜDM sahələr üzrə'!AG165</f>
        <v>24.766528925619834</v>
      </c>
      <c r="N141" s="5">
        <f>'[1]ÜDM sahələr üzrə'!AH165</f>
        <v>26.893280632411066</v>
      </c>
      <c r="O141" s="5">
        <f>'[1]ÜDM sahələr üzrə'!AI165</f>
        <v>26.895645645645651</v>
      </c>
      <c r="P141" s="59">
        <f>'[1]ÜDM sahələr üzrə'!AJ165</f>
        <v>26.895645645645651</v>
      </c>
      <c r="Q141" s="5">
        <f>'[1]ÜDM sahələr üzrə'!AK165</f>
        <v>26.895645645645651</v>
      </c>
      <c r="R141" s="5">
        <f>'[1]ÜDM sahələr üzrə'!AL165</f>
        <v>26.895645645645651</v>
      </c>
      <c r="S141" s="5">
        <f>'[1]ÜDM sahələr üzrə'!AM165</f>
        <v>26.895645645645651</v>
      </c>
      <c r="T141" s="6">
        <f>'[1]ÜDM sahələr üzrə'!AN165</f>
        <v>26.895645645645651</v>
      </c>
      <c r="U141" s="6">
        <f>'[1]ÜDM sahələr üzrə'!AO165</f>
        <v>26.895645645645651</v>
      </c>
    </row>
    <row r="142" spans="1:21" customFormat="1" ht="14" hidden="1">
      <c r="A142" s="70"/>
      <c r="B142" s="4" t="s">
        <v>16</v>
      </c>
      <c r="C142" s="153" t="s">
        <v>6</v>
      </c>
      <c r="D142" s="59">
        <v>9.94</v>
      </c>
      <c r="E142" s="5">
        <v>-12.8</v>
      </c>
      <c r="F142" s="5">
        <v>29.7</v>
      </c>
      <c r="G142" s="5">
        <v>67.540000000000006</v>
      </c>
      <c r="H142" s="59">
        <v>6.4</v>
      </c>
      <c r="I142" s="59">
        <f>'[1]ÜDM sahələr üzrə'!AC166</f>
        <v>0.5</v>
      </c>
      <c r="J142" s="5">
        <f>'[1]ÜDM sahələr üzrə'!AD166</f>
        <v>22</v>
      </c>
      <c r="K142" s="6">
        <f>'[1]ÜDM sahələr üzrə'!AE166</f>
        <v>-5.46</v>
      </c>
      <c r="L142" s="5">
        <f>'[1]ÜDM sahələr üzrə'!AF166</f>
        <v>4.5999999999999996</v>
      </c>
      <c r="M142" s="5">
        <f>'[1]ÜDM sahələr üzrə'!AG166</f>
        <v>8.44</v>
      </c>
      <c r="N142" s="5">
        <f>'[1]ÜDM sahələr üzrə'!AH166</f>
        <v>24.3</v>
      </c>
      <c r="O142" s="5">
        <f>'[1]ÜDM sahələr üzrə'!AI166</f>
        <v>-15</v>
      </c>
      <c r="P142" s="59">
        <f>'[1]ÜDM sahələr üzrə'!AJ166</f>
        <v>9.5397516880005639</v>
      </c>
      <c r="Q142" s="5">
        <f>'[1]ÜDM sahələr üzrə'!AK166</f>
        <v>8.3081435180741607</v>
      </c>
      <c r="R142" s="5">
        <f>'[1]ÜDM sahələr üzrə'!AL166</f>
        <v>9.2444852114772686</v>
      </c>
      <c r="S142" s="5">
        <f>'[1]ÜDM sahələr üzrə'!AM166</f>
        <v>7.2578691446912273</v>
      </c>
      <c r="T142" s="6">
        <f>'[1]ÜDM sahələr üzrə'!AN166</f>
        <v>5.1181050223675584</v>
      </c>
      <c r="U142" s="6">
        <f>'[1]ÜDM sahələr üzrə'!AO166</f>
        <v>6.686735362817231</v>
      </c>
    </row>
    <row r="143" spans="1:21" customFormat="1" ht="14" hidden="1">
      <c r="A143" s="71"/>
      <c r="B143" s="9" t="s">
        <v>56</v>
      </c>
      <c r="C143" s="154" t="s">
        <v>6</v>
      </c>
      <c r="D143" s="60">
        <v>-23.720857980845594</v>
      </c>
      <c r="E143" s="10">
        <v>8.6991031247763573</v>
      </c>
      <c r="F143" s="10">
        <v>5.7276120827194603</v>
      </c>
      <c r="G143" s="10">
        <v>60.808163119071246</v>
      </c>
      <c r="H143" s="60">
        <v>12.999999999999986</v>
      </c>
      <c r="I143" s="59">
        <f>'[1]ÜDM sahələr üzrə'!AC167</f>
        <v>3.9371388184426195</v>
      </c>
      <c r="J143" s="10">
        <f>'[1]ÜDM sahələr üzrə'!AD167</f>
        <v>0.43715846994535923</v>
      </c>
      <c r="K143" s="11">
        <f>'[1]ÜDM sahələr üzrə'!AE167</f>
        <v>7.8471025040094133</v>
      </c>
      <c r="L143" s="10">
        <f>'[1]ÜDM sahələr üzrə'!AF167</f>
        <v>-15.100673195238855</v>
      </c>
      <c r="M143" s="10">
        <f>'[1]ÜDM sahələr üzrə'!AG167</f>
        <v>32.845079917835761</v>
      </c>
      <c r="N143" s="10">
        <f>'[1]ÜDM sahələr üzrə'!AH167</f>
        <v>14.162292067411997</v>
      </c>
      <c r="O143" s="10">
        <f>'[1]ÜDM sahələr üzrə'!AI167</f>
        <v>-0.8887505619531737</v>
      </c>
      <c r="P143" s="60">
        <f>'[1]ÜDM sahələr üzrə'!AJ167</f>
        <v>6.2244927094833713</v>
      </c>
      <c r="Q143" s="10">
        <f>'[1]ÜDM sahələr üzrə'!AK167</f>
        <v>-0.1383077997579818</v>
      </c>
      <c r="R143" s="10">
        <f>'[1]ÜDM sahələr üzrə'!AL167</f>
        <v>3.4425854618632172</v>
      </c>
      <c r="S143" s="10">
        <f>'[1]ÜDM sahələr üzrə'!AM167</f>
        <v>3.2679738562090961</v>
      </c>
      <c r="T143" s="11">
        <f>'[1]ÜDM sahələr üzrə'!AN167</f>
        <v>3.3755274261603603</v>
      </c>
      <c r="U143" s="11">
        <f>'[1]ÜDM sahələr üzrə'!AO167</f>
        <v>-3.2653061224489903</v>
      </c>
    </row>
    <row r="144" spans="1:21" customFormat="1" ht="14" hidden="1">
      <c r="A144" s="69" t="s">
        <v>106</v>
      </c>
      <c r="B144" s="26" t="s">
        <v>107</v>
      </c>
      <c r="C144" s="164"/>
      <c r="D144" s="40"/>
      <c r="E144" s="18"/>
      <c r="F144" s="18"/>
      <c r="G144" s="18"/>
      <c r="H144" s="40"/>
      <c r="I144" s="94"/>
      <c r="J144" s="18"/>
      <c r="K144" s="19"/>
      <c r="L144" s="18"/>
      <c r="M144" s="18"/>
      <c r="N144" s="18"/>
      <c r="O144" s="18"/>
      <c r="P144" s="40"/>
      <c r="Q144" s="18"/>
      <c r="R144" s="18"/>
      <c r="S144" s="18"/>
      <c r="T144" s="19"/>
      <c r="U144" s="19"/>
    </row>
    <row r="145" spans="1:21" customFormat="1" ht="14" hidden="1">
      <c r="A145" s="70" t="s">
        <v>67</v>
      </c>
      <c r="B145" s="4" t="s">
        <v>68</v>
      </c>
      <c r="C145" s="153" t="s">
        <v>12</v>
      </c>
      <c r="D145" s="59">
        <v>390.2</v>
      </c>
      <c r="E145" s="5">
        <v>500.3</v>
      </c>
      <c r="F145" s="5">
        <v>430.9</v>
      </c>
      <c r="G145" s="5">
        <v>472.71261446925337</v>
      </c>
      <c r="H145" s="59">
        <v>673.7</v>
      </c>
      <c r="I145" s="59">
        <f>'[1]ÜDM sahələr üzrə'!AC169</f>
        <v>733.7</v>
      </c>
      <c r="J145" s="5">
        <f>'[1]ÜDM sahələr üzrə'!AD169</f>
        <v>749.1</v>
      </c>
      <c r="K145" s="6">
        <f>'[1]ÜDM sahələr üzrə'!AE169</f>
        <v>741.3</v>
      </c>
      <c r="L145" s="5">
        <f>'[1]ÜDM sahələr üzrə'!AF169</f>
        <v>881.4</v>
      </c>
      <c r="M145" s="5">
        <f>'[1]ÜDM sahələr üzrə'!AG169</f>
        <v>1082.9000000000001</v>
      </c>
      <c r="N145" s="5">
        <f>'[1]ÜDM sahələr üzrə'!AH169</f>
        <v>1189.5999999999999</v>
      </c>
      <c r="O145" s="5">
        <f>'[1]ÜDM sahələr üzrə'!AI169</f>
        <v>1423.3</v>
      </c>
      <c r="P145" s="59">
        <f>'[1]ÜDM sahələr üzrə'!AJ169</f>
        <v>1633.9567028013507</v>
      </c>
      <c r="Q145" s="5">
        <f>'[1]ÜDM sahələr üzrə'!AK169</f>
        <v>1825.8457219371046</v>
      </c>
      <c r="R145" s="5">
        <f>'[1]ÜDM sahələr üzrə'!AL169</f>
        <v>2227.9978817919728</v>
      </c>
      <c r="S145" s="5">
        <f>'[1]ÜDM sahələr üzrə'!AM169</f>
        <v>2616.4716175774288</v>
      </c>
      <c r="T145" s="6">
        <f>'[1]ÜDM sahələr üzrə'!AN169</f>
        <v>3027.3835840055112</v>
      </c>
      <c r="U145" s="6">
        <f>'[1]ÜDM sahələr üzrə'!AO169</f>
        <v>3642.8609992199299</v>
      </c>
    </row>
    <row r="146" spans="1:21" customFormat="1" ht="14" hidden="1">
      <c r="A146" s="70" t="s">
        <v>69</v>
      </c>
      <c r="B146" s="4" t="s">
        <v>70</v>
      </c>
      <c r="C146" s="153" t="s">
        <v>12</v>
      </c>
      <c r="D146" s="59">
        <v>234.2</v>
      </c>
      <c r="E146" s="5">
        <v>299.2</v>
      </c>
      <c r="F146" s="5">
        <v>258.2</v>
      </c>
      <c r="G146" s="5">
        <v>282.20943083814427</v>
      </c>
      <c r="H146" s="59">
        <v>403.50000000000006</v>
      </c>
      <c r="I146" s="59">
        <f>'[1]ÜDM sahələr üzrə'!AC170</f>
        <v>419.56000000000006</v>
      </c>
      <c r="J146" s="5">
        <f>'[1]ÜDM sahələr üzrə'!AD170</f>
        <v>434.40000000000003</v>
      </c>
      <c r="K146" s="6">
        <f>'[1]ÜDM sahələr üzrə'!AE170</f>
        <v>421.35999999999996</v>
      </c>
      <c r="L146" s="5">
        <f>'[1]ÜDM sahələr üzrə'!AF170</f>
        <v>533.5</v>
      </c>
      <c r="M146" s="5">
        <f>'[1]ÜDM sahələr üzrə'!AG170</f>
        <v>629.30000000000007</v>
      </c>
      <c r="N146" s="5">
        <f>'[1]ÜDM sahələr üzrə'!AH170</f>
        <v>758.99999999999989</v>
      </c>
      <c r="O146" s="5">
        <f>'[1]ÜDM sahələr üzrə'!AI170</f>
        <v>908.09999999999991</v>
      </c>
      <c r="P146" s="59">
        <f>'[1]ÜDM sahələr üzrə'!AJ170</f>
        <v>1042.5040973891005</v>
      </c>
      <c r="Q146" s="5">
        <f>'[1]ÜDM sahələr üzrə'!AK170</f>
        <v>1164.9339563627377</v>
      </c>
      <c r="R146" s="5">
        <f>'[1]ÜDM sahələr üzrə'!AL170</f>
        <v>1421.5168105496314</v>
      </c>
      <c r="S146" s="5">
        <f>'[1]ÜDM sahələr üzrə'!AM170</f>
        <v>1669.3724976618164</v>
      </c>
      <c r="T146" s="6">
        <f>'[1]ÜDM sahələr üzrə'!AN170</f>
        <v>1931.5443213907151</v>
      </c>
      <c r="U146" s="6">
        <f>'[1]ÜDM sahələr üzrə'!AO170</f>
        <v>2324.23387437056</v>
      </c>
    </row>
    <row r="147" spans="1:21" customFormat="1" ht="14" hidden="1">
      <c r="A147" s="70" t="s">
        <v>71</v>
      </c>
      <c r="B147" s="4" t="s">
        <v>72</v>
      </c>
      <c r="C147" s="153" t="s">
        <v>12</v>
      </c>
      <c r="D147" s="59">
        <v>156</v>
      </c>
      <c r="E147" s="5">
        <v>201.10000000000002</v>
      </c>
      <c r="F147" s="5">
        <v>172.7</v>
      </c>
      <c r="G147" s="5">
        <v>190.50318363110912</v>
      </c>
      <c r="H147" s="59">
        <v>270.2</v>
      </c>
      <c r="I147" s="59">
        <f>'[1]ÜDM sahələr üzrə'!AC171</f>
        <v>314.14</v>
      </c>
      <c r="J147" s="5">
        <f>'[1]ÜDM sahələr üzrə'!AD171</f>
        <v>314.7</v>
      </c>
      <c r="K147" s="6">
        <f>'[1]ÜDM sahələr üzrə'!AE171</f>
        <v>319.94</v>
      </c>
      <c r="L147" s="5">
        <f>'[1]ÜDM sahələr üzrə'!AF171</f>
        <v>347.9</v>
      </c>
      <c r="M147" s="5">
        <f>'[1]ÜDM sahələr üzrə'!AG171</f>
        <v>453.6</v>
      </c>
      <c r="N147" s="5">
        <f>'[1]ÜDM sahələr üzrə'!AH171</f>
        <v>430.6</v>
      </c>
      <c r="O147" s="5">
        <f>'[1]ÜDM sahələr üzrə'!AI171</f>
        <v>515.20000000000005</v>
      </c>
      <c r="P147" s="59">
        <f>'[1]ÜDM sahələr üzrə'!AJ171</f>
        <v>591.45260541225036</v>
      </c>
      <c r="Q147" s="5">
        <f>'[1]ÜDM sahələr üzrə'!AK171</f>
        <v>660.91176557436688</v>
      </c>
      <c r="R147" s="5">
        <f>'[1]ÜDM sahələr üzrə'!AL171</f>
        <v>806.48107124234127</v>
      </c>
      <c r="S147" s="5">
        <f>'[1]ÜDM sahələr üzrə'!AM171</f>
        <v>947.0991199156125</v>
      </c>
      <c r="T147" s="6">
        <f>'[1]ÜDM sahələr üzrə'!AN171</f>
        <v>1095.8392626147961</v>
      </c>
      <c r="U147" s="6">
        <f>'[1]ÜDM sahələr üzrə'!AO171</f>
        <v>1318.6271248493699</v>
      </c>
    </row>
    <row r="148" spans="1:21" customFormat="1" ht="14" hidden="1">
      <c r="A148" s="70"/>
      <c r="B148" s="4" t="s">
        <v>73</v>
      </c>
      <c r="C148" s="153" t="s">
        <v>6</v>
      </c>
      <c r="D148" s="59">
        <v>39.979497693490515</v>
      </c>
      <c r="E148" s="5">
        <v>40.195882470517688</v>
      </c>
      <c r="F148" s="5">
        <v>40.078904618240891</v>
      </c>
      <c r="G148" s="5">
        <v>40.300000000000004</v>
      </c>
      <c r="H148" s="59">
        <v>40.106872495175885</v>
      </c>
      <c r="I148" s="59">
        <f>'[1]ÜDM sahələr üzrə'!AC172</f>
        <v>42.815864794875289</v>
      </c>
      <c r="J148" s="5">
        <f>'[1]ÜDM sahələr üzrə'!AD172</f>
        <v>42.010412494993993</v>
      </c>
      <c r="K148" s="6">
        <f>'[1]ÜDM sahələr üzrə'!AE172</f>
        <v>43.159314717388376</v>
      </c>
      <c r="L148" s="5">
        <f>'[1]ÜDM sahələr üzrə'!AF172</f>
        <v>39.471295665985927</v>
      </c>
      <c r="M148" s="5">
        <f>'[1]ÜDM sahələr üzrə'!AG172</f>
        <v>41.887524240465417</v>
      </c>
      <c r="N148" s="5">
        <f>'[1]ÜDM sahələr üzrə'!AH172</f>
        <v>36.197041022192337</v>
      </c>
      <c r="O148" s="5">
        <f>'[1]ÜDM sahələr üzrə'!AI172</f>
        <v>36.197569029719666</v>
      </c>
      <c r="P148" s="59">
        <f>'[1]ÜDM sahələr üzrə'!AJ172</f>
        <v>36.197569029719666</v>
      </c>
      <c r="Q148" s="5">
        <f>'[1]ÜDM sahələr üzrə'!AK172</f>
        <v>36.197569029719666</v>
      </c>
      <c r="R148" s="5">
        <f>'[1]ÜDM sahələr üzrə'!AL172</f>
        <v>36.197569029719666</v>
      </c>
      <c r="S148" s="5">
        <f>'[1]ÜDM sahələr üzrə'!AM172</f>
        <v>36.197569029719666</v>
      </c>
      <c r="T148" s="6">
        <f>'[1]ÜDM sahələr üzrə'!AN172</f>
        <v>36.197569029719666</v>
      </c>
      <c r="U148" s="6">
        <f>'[1]ÜDM sahələr üzrə'!AO172</f>
        <v>36.197569029719666</v>
      </c>
    </row>
    <row r="149" spans="1:21" customFormat="1" ht="14" hidden="1">
      <c r="A149" s="70"/>
      <c r="B149" s="4" t="s">
        <v>16</v>
      </c>
      <c r="C149" s="153" t="s">
        <v>6</v>
      </c>
      <c r="D149" s="59">
        <v>17.700000000000003</v>
      </c>
      <c r="E149" s="5">
        <v>31.900000000000006</v>
      </c>
      <c r="F149" s="5">
        <v>-10.299999999999997</v>
      </c>
      <c r="G149" s="5">
        <v>-10</v>
      </c>
      <c r="H149" s="59">
        <v>26.3</v>
      </c>
      <c r="I149" s="59">
        <f>'[1]ÜDM sahələr üzrə'!AC173</f>
        <v>26.25</v>
      </c>
      <c r="J149" s="5">
        <f>'[1]ÜDM sahələr üzrə'!AD173</f>
        <v>4.9800000000000004</v>
      </c>
      <c r="K149" s="6">
        <f>'[1]ÜDM sahələr üzrə'!AE173</f>
        <v>3.9</v>
      </c>
      <c r="L149" s="5">
        <f>'[1]ÜDM sahələr üzrə'!AF173</f>
        <v>12.2</v>
      </c>
      <c r="M149" s="5">
        <f>'[1]ÜDM sahələr üzrə'!AG173</f>
        <v>14.4</v>
      </c>
      <c r="N149" s="5">
        <f>'[1]ÜDM sahələr üzrə'!AH173</f>
        <v>3.96</v>
      </c>
      <c r="O149" s="5">
        <f>'[1]ÜDM sahələr üzrə'!AI173</f>
        <v>12</v>
      </c>
      <c r="P149" s="59">
        <f>'[1]ÜDM sahələr üzrə'!AJ173</f>
        <v>10.643731002839885</v>
      </c>
      <c r="Q149" s="5">
        <f>'[1]ÜDM sahələr üzrə'!AK173</f>
        <v>8.7870244068339645</v>
      </c>
      <c r="R149" s="5">
        <f>'[1]ÜDM sahələr üzrə'!AL173</f>
        <v>16.142550615568041</v>
      </c>
      <c r="S149" s="5">
        <f>'[1]ÜDM sahələr üzrə'!AM173</f>
        <v>10.059696233032994</v>
      </c>
      <c r="T149" s="6">
        <f>'[1]ÜDM sahələr üzrə'!AN173</f>
        <v>8.5956366789947509</v>
      </c>
      <c r="U149" s="6">
        <f>'[1]ÜDM sahələr üzrə'!AO173</f>
        <v>13.350579438053359</v>
      </c>
    </row>
    <row r="150" spans="1:21" customFormat="1" ht="14" hidden="1">
      <c r="A150" s="71"/>
      <c r="B150" s="9" t="s">
        <v>56</v>
      </c>
      <c r="C150" s="154" t="s">
        <v>6</v>
      </c>
      <c r="D150" s="60">
        <v>17.188644420355686</v>
      </c>
      <c r="E150" s="10">
        <v>-2.266674442565261</v>
      </c>
      <c r="F150" s="10">
        <v>-4.261234337121337</v>
      </c>
      <c r="G150" s="10">
        <v>22.565260008434109</v>
      </c>
      <c r="H150" s="60">
        <v>12.299999999999997</v>
      </c>
      <c r="I150" s="59">
        <f>'[1]ÜDM sahələr üzrə'!AC174</f>
        <v>-7.9248955090890973</v>
      </c>
      <c r="J150" s="10">
        <f>'[1]ÜDM sahələr üzrə'!AD174</f>
        <v>-4.5739526880629171</v>
      </c>
      <c r="K150" s="11">
        <f>'[1]ÜDM sahələr üzrə'!AE174</f>
        <v>-2.1510319038282262</v>
      </c>
      <c r="L150" s="10">
        <f>'[1]ÜDM sahələr üzrə'!AF174</f>
        <v>-3.0845467125799075</v>
      </c>
      <c r="M150" s="10">
        <f>'[1]ÜDM sahələr üzrə'!AG174</f>
        <v>13.970536505747774</v>
      </c>
      <c r="N150" s="10">
        <f>'[1]ÜDM sahələr üzrə'!AH174</f>
        <v>-8.6865590007824238</v>
      </c>
      <c r="O150" s="10">
        <f>'[1]ÜDM sahələr üzrə'!AI174</f>
        <v>6.8276823037621881</v>
      </c>
      <c r="P150" s="60">
        <f>'[1]ÜDM sahələr üzrə'!AJ174</f>
        <v>3.7569705107869851</v>
      </c>
      <c r="Q150" s="10">
        <f>'[1]ÜDM sahələr üzrə'!AK174</f>
        <v>2.7179719422708075</v>
      </c>
      <c r="R150" s="10">
        <f>'[1]ÜDM sahələr üzrə'!AL174</f>
        <v>5.0653075085368897</v>
      </c>
      <c r="S150" s="10">
        <f>'[1]ÜDM sahələr üzrə'!AM174</f>
        <v>6.7020945420822784</v>
      </c>
      <c r="T150" s="11">
        <f>'[1]ÜDM sahələr üzrə'!AN174</f>
        <v>6.5464656046874978</v>
      </c>
      <c r="U150" s="11">
        <f>'[1]ÜDM sahələr üzrə'!AO174</f>
        <v>6.1576763883423524</v>
      </c>
    </row>
    <row r="151" spans="1:21" customFormat="1" ht="14" hidden="1">
      <c r="A151" s="69" t="s">
        <v>108</v>
      </c>
      <c r="B151" s="26" t="s">
        <v>109</v>
      </c>
      <c r="C151" s="164"/>
      <c r="D151" s="40"/>
      <c r="E151" s="18"/>
      <c r="F151" s="18"/>
      <c r="G151" s="18"/>
      <c r="H151" s="40"/>
      <c r="I151" s="94"/>
      <c r="J151" s="18"/>
      <c r="K151" s="19"/>
      <c r="L151" s="18"/>
      <c r="M151" s="18"/>
      <c r="N151" s="18"/>
      <c r="O151" s="18"/>
      <c r="P151" s="40"/>
      <c r="Q151" s="18"/>
      <c r="R151" s="18"/>
      <c r="S151" s="18"/>
      <c r="T151" s="19"/>
      <c r="U151" s="19"/>
    </row>
    <row r="152" spans="1:21" customFormat="1" ht="14" hidden="1">
      <c r="A152" s="70" t="s">
        <v>67</v>
      </c>
      <c r="B152" s="4" t="s">
        <v>68</v>
      </c>
      <c r="C152" s="153" t="s">
        <v>12</v>
      </c>
      <c r="D152" s="59">
        <v>305.2</v>
      </c>
      <c r="E152" s="5">
        <v>281.2</v>
      </c>
      <c r="F152" s="5">
        <v>213.5</v>
      </c>
      <c r="G152" s="5">
        <v>287.2</v>
      </c>
      <c r="H152" s="59">
        <v>493.6</v>
      </c>
      <c r="I152" s="59">
        <f>'[1]ÜDM sahələr üzrə'!AC176</f>
        <v>622.1</v>
      </c>
      <c r="J152" s="5">
        <f>'[1]ÜDM sahələr üzrə'!AD176</f>
        <v>573.29999999999995</v>
      </c>
      <c r="K152" s="6">
        <f>'[1]ÜDM sahələr üzrə'!AE176</f>
        <v>524.29999999999995</v>
      </c>
      <c r="L152" s="5">
        <f>'[1]ÜDM sahələr üzrə'!AF176</f>
        <v>850.2</v>
      </c>
      <c r="M152" s="5">
        <f>'[1]ÜDM sahələr üzrə'!AG176</f>
        <v>1056.9000000000001</v>
      </c>
      <c r="N152" s="5">
        <f>'[1]ÜDM sahələr üzrə'!AH176</f>
        <v>1011.1</v>
      </c>
      <c r="O152" s="5">
        <f>'[1]ÜDM sahələr üzrə'!AI176</f>
        <v>931</v>
      </c>
      <c r="P152" s="59">
        <f>'[1]ÜDM sahələr üzrə'!AJ176</f>
        <v>950.7469229236948</v>
      </c>
      <c r="Q152" s="5">
        <f>'[1]ÜDM sahələr üzrə'!AK176</f>
        <v>1007.7987095694617</v>
      </c>
      <c r="R152" s="5">
        <f>'[1]ÜDM sahələr üzrə'!AL176</f>
        <v>1073.9048252811435</v>
      </c>
      <c r="S152" s="5">
        <f>'[1]ÜDM sahələr üzrə'!AM176</f>
        <v>1136.4477250335472</v>
      </c>
      <c r="T152" s="6">
        <f>'[1]ÜDM sahələr üzrə'!AN176</f>
        <v>1194.7621164099137</v>
      </c>
      <c r="U152" s="6">
        <f>'[1]ÜDM sahələr üzrə'!AO176</f>
        <v>1215.4330772486612</v>
      </c>
    </row>
    <row r="153" spans="1:21" customFormat="1" ht="14" hidden="1">
      <c r="A153" s="70" t="s">
        <v>69</v>
      </c>
      <c r="B153" s="4" t="s">
        <v>70</v>
      </c>
      <c r="C153" s="153" t="s">
        <v>12</v>
      </c>
      <c r="D153" s="59">
        <v>169.39999999999998</v>
      </c>
      <c r="E153" s="5">
        <v>156.89999999999998</v>
      </c>
      <c r="F153" s="5">
        <v>117.2</v>
      </c>
      <c r="G153" s="5">
        <v>157.1</v>
      </c>
      <c r="H153" s="59">
        <v>270</v>
      </c>
      <c r="I153" s="59">
        <f>'[1]ÜDM sahələr üzrə'!AC177</f>
        <v>339.46000000000004</v>
      </c>
      <c r="J153" s="5">
        <f>'[1]ÜDM sahələr üzrə'!AD177</f>
        <v>312.16999999999996</v>
      </c>
      <c r="K153" s="6">
        <f>'[1]ÜDM sahələr üzrə'!AE177</f>
        <v>267.35999999999996</v>
      </c>
      <c r="L153" s="5">
        <f>'[1]ÜDM sahələr üzrə'!AF177</f>
        <v>480.5</v>
      </c>
      <c r="M153" s="5">
        <f>'[1]ÜDM sahələr üzrə'!AG177</f>
        <v>623.60000000000014</v>
      </c>
      <c r="N153" s="5">
        <f>'[1]ÜDM sahələr üzrə'!AH177</f>
        <v>613.70000000000005</v>
      </c>
      <c r="O153" s="5">
        <f>'[1]ÜDM sahələr üzrə'!AI177</f>
        <v>565.1</v>
      </c>
      <c r="P153" s="59">
        <f>'[1]ÜDM sahələr üzrə'!AJ177</f>
        <v>577.08602163714272</v>
      </c>
      <c r="Q153" s="5">
        <f>'[1]ÜDM sahələr üzrə'!AK177</f>
        <v>611.71541436917596</v>
      </c>
      <c r="R153" s="5">
        <f>'[1]ÜDM sahələr üzrə'!AL177</f>
        <v>651.84061951275419</v>
      </c>
      <c r="S153" s="5">
        <f>'[1]ÜDM sahələr üzrə'!AM177</f>
        <v>689.80301763314446</v>
      </c>
      <c r="T153" s="6">
        <f>'[1]ÜDM sahələr üzrə'!AN177</f>
        <v>725.19878838157047</v>
      </c>
      <c r="U153" s="6">
        <f>'[1]ÜDM sahələr üzrə'!AO177</f>
        <v>737.74568416027751</v>
      </c>
    </row>
    <row r="154" spans="1:21" customFormat="1" ht="14" hidden="1">
      <c r="A154" s="70" t="s">
        <v>71</v>
      </c>
      <c r="B154" s="4" t="s">
        <v>72</v>
      </c>
      <c r="C154" s="153" t="s">
        <v>12</v>
      </c>
      <c r="D154" s="59">
        <v>135.80000000000001</v>
      </c>
      <c r="E154" s="5">
        <v>124.3</v>
      </c>
      <c r="F154" s="5">
        <v>96.3</v>
      </c>
      <c r="G154" s="5">
        <v>130.1</v>
      </c>
      <c r="H154" s="59">
        <v>223.6</v>
      </c>
      <c r="I154" s="59">
        <f>'[1]ÜDM sahələr üzrə'!AC178</f>
        <v>282.64</v>
      </c>
      <c r="J154" s="5">
        <f>'[1]ÜDM sahələr üzrə'!AD178</f>
        <v>261.13</v>
      </c>
      <c r="K154" s="6">
        <f>'[1]ÜDM sahələr üzrə'!AE178</f>
        <v>256.94</v>
      </c>
      <c r="L154" s="5">
        <f>'[1]ÜDM sahələr üzrə'!AF178</f>
        <v>369.70000000000005</v>
      </c>
      <c r="M154" s="5">
        <f>'[1]ÜDM sahələr üzrə'!AG178</f>
        <v>433.3</v>
      </c>
      <c r="N154" s="5">
        <f>'[1]ÜDM sahələr üzrə'!AH178</f>
        <v>397.4</v>
      </c>
      <c r="O154" s="5">
        <f>'[1]ÜDM sahələr üzrə'!AI178</f>
        <v>365.9</v>
      </c>
      <c r="P154" s="59">
        <f>'[1]ÜDM sahələr üzrə'!AJ178</f>
        <v>373.66090128655202</v>
      </c>
      <c r="Q154" s="5">
        <f>'[1]ÜDM sahələr üzrə'!AK178</f>
        <v>396.08329520028576</v>
      </c>
      <c r="R154" s="5">
        <f>'[1]ÜDM sahələr üzrə'!AL178</f>
        <v>422.06420576838934</v>
      </c>
      <c r="S154" s="5">
        <f>'[1]ÜDM sahələr üzrə'!AM178</f>
        <v>446.64470740040269</v>
      </c>
      <c r="T154" s="6">
        <f>'[1]ÜDM sahələr üzrə'!AN178</f>
        <v>469.56332802834316</v>
      </c>
      <c r="U154" s="6">
        <f>'[1]ÜDM sahələr üzrə'!AO178</f>
        <v>477.68739308838366</v>
      </c>
    </row>
    <row r="155" spans="1:21" customFormat="1" ht="14" hidden="1">
      <c r="A155" s="70"/>
      <c r="B155" s="4" t="s">
        <v>73</v>
      </c>
      <c r="C155" s="153" t="s">
        <v>6</v>
      </c>
      <c r="D155" s="59">
        <v>44.4954128440367</v>
      </c>
      <c r="E155" s="5">
        <v>44.203413940256048</v>
      </c>
      <c r="F155" s="5">
        <v>45.105386416861826</v>
      </c>
      <c r="G155" s="5">
        <v>45.299442896935929</v>
      </c>
      <c r="H155" s="59">
        <v>45.299837925445701</v>
      </c>
      <c r="I155" s="59">
        <f>'[1]ÜDM sahələr üzrə'!AC179</f>
        <v>45.433210094840057</v>
      </c>
      <c r="J155" s="5">
        <f>'[1]ÜDM sahələr üzrə'!AD179</f>
        <v>45.548578405721265</v>
      </c>
      <c r="K155" s="6">
        <f>'[1]ÜDM sahələr üzrə'!AE179</f>
        <v>49.006294106427625</v>
      </c>
      <c r="L155" s="5">
        <f>'[1]ÜDM sahələr üzrə'!AF179</f>
        <v>43.483886144436603</v>
      </c>
      <c r="M155" s="5">
        <f>'[1]ÜDM sahələr üzrə'!AG179</f>
        <v>40.997256126407414</v>
      </c>
      <c r="N155" s="5">
        <f>'[1]ÜDM sahələr üzrə'!AH179</f>
        <v>39.303728612402331</v>
      </c>
      <c r="O155" s="5">
        <f>'[1]ÜDM sahələr üzrə'!AI179</f>
        <v>39.301825993555319</v>
      </c>
      <c r="P155" s="59">
        <f>'[1]ÜDM sahələr üzrə'!AJ179</f>
        <v>39.301825993555319</v>
      </c>
      <c r="Q155" s="5">
        <f>'[1]ÜDM sahələr üzrə'!AK179</f>
        <v>39.301825993555319</v>
      </c>
      <c r="R155" s="5">
        <f>'[1]ÜDM sahələr üzrə'!AL179</f>
        <v>39.301825993555319</v>
      </c>
      <c r="S155" s="5">
        <f>'[1]ÜDM sahələr üzrə'!AM179</f>
        <v>39.301825993555319</v>
      </c>
      <c r="T155" s="6">
        <f>'[1]ÜDM sahələr üzrə'!AN179</f>
        <v>39.301825993555319</v>
      </c>
      <c r="U155" s="6">
        <f>'[1]ÜDM sahələr üzrə'!AO179</f>
        <v>39.301825993555319</v>
      </c>
    </row>
    <row r="156" spans="1:21" customFormat="1" ht="14" hidden="1">
      <c r="A156" s="70"/>
      <c r="B156" s="4" t="s">
        <v>16</v>
      </c>
      <c r="C156" s="153" t="s">
        <v>6</v>
      </c>
      <c r="D156" s="59">
        <v>-15.5</v>
      </c>
      <c r="E156" s="5">
        <v>2.9000000000000057</v>
      </c>
      <c r="F156" s="5">
        <v>-17.600000000000001</v>
      </c>
      <c r="G156" s="5">
        <v>5.05</v>
      </c>
      <c r="H156" s="59">
        <v>24.3</v>
      </c>
      <c r="I156" s="59">
        <f>'[1]ÜDM sahələr üzrə'!AC180</f>
        <v>14.5</v>
      </c>
      <c r="J156" s="5">
        <f>'[1]ÜDM sahələr üzrə'!AD180</f>
        <v>-9.52</v>
      </c>
      <c r="K156" s="6">
        <f>'[1]ÜDM sahələr üzrə'!AE180</f>
        <v>-6.9</v>
      </c>
      <c r="L156" s="5">
        <f>'[1]ÜDM sahələr üzrə'!AF180</f>
        <v>21.6</v>
      </c>
      <c r="M156" s="5">
        <f>'[1]ÜDM sahələr üzrə'!AG180</f>
        <v>19.5</v>
      </c>
      <c r="N156" s="5">
        <f>'[1]ÜDM sahələr üzrə'!AH180</f>
        <v>-1.01</v>
      </c>
      <c r="O156" s="5">
        <f>'[1]ÜDM sahələr üzrə'!AI180</f>
        <v>-12</v>
      </c>
      <c r="P156" s="59">
        <f>'[1]ÜDM sahələr üzrə'!AJ180</f>
        <v>-1.6499915672566488</v>
      </c>
      <c r="Q156" s="5">
        <f>'[1]ÜDM sahələr üzrə'!AK180</f>
        <v>3.471479708814627</v>
      </c>
      <c r="R156" s="5">
        <f>'[1]ÜDM sahələr üzrə'!AL180</f>
        <v>2.9454822669513874</v>
      </c>
      <c r="S156" s="5">
        <f>'[1]ÜDM sahələr üzrə'!AM180</f>
        <v>2.225457748870042</v>
      </c>
      <c r="T156" s="6">
        <f>'[1]ÜDM sahələr üzrə'!AN180</f>
        <v>1.687961309799249</v>
      </c>
      <c r="U156" s="6">
        <f>'[1]ÜDM sahələr üzrə'!AO180</f>
        <v>5.2016838250142428</v>
      </c>
    </row>
    <row r="157" spans="1:21" customFormat="1" ht="14" hidden="1">
      <c r="A157" s="71"/>
      <c r="B157" s="9" t="s">
        <v>56</v>
      </c>
      <c r="C157" s="154" t="s">
        <v>6</v>
      </c>
      <c r="D157" s="60">
        <v>1.139118421395608</v>
      </c>
      <c r="E157" s="10">
        <v>-11.047945372131636</v>
      </c>
      <c r="F157" s="10">
        <v>-5.9783330339219987</v>
      </c>
      <c r="G157" s="10">
        <v>28.604140934717833</v>
      </c>
      <c r="H157" s="60">
        <v>38.268539022213872</v>
      </c>
      <c r="I157" s="59">
        <f>'[1]ÜDM sahələr üzrə'!AC181</f>
        <v>10.396762778198749</v>
      </c>
      <c r="J157" s="10">
        <f>'[1]ÜDM sahələr üzrə'!AD181</f>
        <v>2.1105351763579137</v>
      </c>
      <c r="K157" s="11">
        <f>'[1]ÜDM sahələr üzrə'!AE181</f>
        <v>5.6879003478355088</v>
      </c>
      <c r="L157" s="10">
        <f>'[1]ÜDM sahələr üzrə'!AF181</f>
        <v>18.327082300598562</v>
      </c>
      <c r="M157" s="10">
        <f>'[1]ÜDM sahələr üzrə'!AG181</f>
        <v>-1.9220605194984586</v>
      </c>
      <c r="N157" s="10">
        <f>'[1]ÜDM sahələr üzrə'!AH181</f>
        <v>-7.349482484843989</v>
      </c>
      <c r="O157" s="10">
        <f>'[1]ÜDM sahələr üzrə'!AI181</f>
        <v>4.6289518232145213</v>
      </c>
      <c r="P157" s="60">
        <f>'[1]ÜDM sahələr üzrə'!AJ181</f>
        <v>3.8343015725735228</v>
      </c>
      <c r="Q157" s="10">
        <f>'[1]ÜDM sahələr üzrə'!AK181</f>
        <v>2.4443967939130147</v>
      </c>
      <c r="R157" s="10">
        <f>'[1]ÜDM sahələr üzrə'!AL181</f>
        <v>3.5105707702737874</v>
      </c>
      <c r="S157" s="10">
        <f>'[1]ÜDM sahələr üzrə'!AM181</f>
        <v>3.5200816591876247</v>
      </c>
      <c r="T157" s="11">
        <f>'[1]ÜDM sahələr üzrə'!AN181</f>
        <v>3.3861682168288638</v>
      </c>
      <c r="U157" s="11">
        <f>'[1]ÜDM sahələr üzrə'!AO181</f>
        <v>-3.2999014567720195</v>
      </c>
    </row>
    <row r="158" spans="1:21" customFormat="1" ht="28" hidden="1">
      <c r="A158" s="69" t="s">
        <v>110</v>
      </c>
      <c r="B158" s="26" t="s">
        <v>111</v>
      </c>
      <c r="C158" s="164"/>
      <c r="D158" s="40"/>
      <c r="E158" s="18"/>
      <c r="F158" s="18"/>
      <c r="G158" s="18"/>
      <c r="H158" s="40"/>
      <c r="I158" s="59"/>
      <c r="J158" s="18"/>
      <c r="K158" s="19"/>
      <c r="L158" s="18"/>
      <c r="M158" s="18"/>
      <c r="N158" s="18"/>
      <c r="O158" s="18"/>
      <c r="P158" s="40"/>
      <c r="Q158" s="18"/>
      <c r="R158" s="18"/>
      <c r="S158" s="18"/>
      <c r="T158" s="19"/>
      <c r="U158" s="19"/>
    </row>
    <row r="159" spans="1:21" customFormat="1" ht="14" hidden="1">
      <c r="A159" s="70" t="s">
        <v>67</v>
      </c>
      <c r="B159" s="4" t="s">
        <v>68</v>
      </c>
      <c r="C159" s="153" t="s">
        <v>12</v>
      </c>
      <c r="D159" s="59">
        <v>103.4</v>
      </c>
      <c r="E159" s="5">
        <v>131.6</v>
      </c>
      <c r="F159" s="5">
        <v>146.6</v>
      </c>
      <c r="G159" s="5">
        <v>161.49337693000507</v>
      </c>
      <c r="H159" s="59">
        <v>301.2</v>
      </c>
      <c r="I159" s="59">
        <f>'[1]ÜDM sahələr üzrə'!AC183</f>
        <v>221</v>
      </c>
      <c r="J159" s="5">
        <f>'[1]ÜDM sahələr üzrə'!AD183</f>
        <v>246</v>
      </c>
      <c r="K159" s="6">
        <f>'[1]ÜDM sahələr üzrə'!AE183</f>
        <v>265.10000000000002</v>
      </c>
      <c r="L159" s="5">
        <f>'[1]ÜDM sahələr üzrə'!AF183</f>
        <v>381.5</v>
      </c>
      <c r="M159" s="5">
        <f>'[1]ÜDM sahələr üzrə'!AG183</f>
        <v>423.8</v>
      </c>
      <c r="N159" s="5">
        <f>'[1]ÜDM sahələr üzrə'!AH183</f>
        <v>353</v>
      </c>
      <c r="O159" s="5">
        <f>'[1]ÜDM sahələr üzrə'!AI183</f>
        <v>418.3</v>
      </c>
      <c r="P159" s="59">
        <f>'[1]ÜDM sahələr üzrə'!AJ183</f>
        <v>481.54655121249135</v>
      </c>
      <c r="Q159" s="5">
        <f>'[1]ÜDM sahələr üzrə'!AK183</f>
        <v>542.682371727239</v>
      </c>
      <c r="R159" s="5">
        <f>'[1]ÜDM sahələr üzrə'!AL183</f>
        <v>635.45480336984667</v>
      </c>
      <c r="S159" s="5">
        <f>'[1]ÜDM sahələr üzrə'!AM183</f>
        <v>705.83614677274443</v>
      </c>
      <c r="T159" s="6">
        <f>'[1]ÜDM sahələr üzrə'!AN183</f>
        <v>773.78175186686803</v>
      </c>
      <c r="U159" s="6">
        <f>'[1]ÜDM sahələr üzrə'!AO183</f>
        <v>777.02340517006655</v>
      </c>
    </row>
    <row r="160" spans="1:21" customFormat="1" ht="14" hidden="1">
      <c r="A160" s="70" t="s">
        <v>69</v>
      </c>
      <c r="B160" s="4" t="s">
        <v>70</v>
      </c>
      <c r="C160" s="153" t="s">
        <v>12</v>
      </c>
      <c r="D160" s="59">
        <v>65</v>
      </c>
      <c r="E160" s="5">
        <v>82.5</v>
      </c>
      <c r="F160" s="5">
        <v>91.644347228915649</v>
      </c>
      <c r="G160" s="5">
        <v>101.09485395818317</v>
      </c>
      <c r="H160" s="59">
        <v>188.6</v>
      </c>
      <c r="I160" s="59">
        <f>'[1]ÜDM sahələr üzrə'!AC184</f>
        <v>126.6</v>
      </c>
      <c r="J160" s="5">
        <f>'[1]ÜDM sahələr üzrə'!AD184</f>
        <v>153.69999999999999</v>
      </c>
      <c r="K160" s="6">
        <f>'[1]ÜDM sahələr üzrə'!AE184</f>
        <v>168.2</v>
      </c>
      <c r="L160" s="5">
        <f>'[1]ÜDM sahələr üzrə'!AF184</f>
        <v>248.05</v>
      </c>
      <c r="M160" s="5">
        <f>'[1]ÜDM sahələr üzrə'!AG184</f>
        <v>285.39999999999998</v>
      </c>
      <c r="N160" s="5">
        <f>'[1]ÜDM sahələr üzrə'!AH184</f>
        <v>233.3</v>
      </c>
      <c r="O160" s="5">
        <f>'[1]ÜDM sahələr üzrə'!AI184</f>
        <v>276.5</v>
      </c>
      <c r="P160" s="59">
        <f>'[1]ÜDM sahələr üzrə'!AJ184</f>
        <v>318.30652978784087</v>
      </c>
      <c r="Q160" s="5">
        <f>'[1]ÜDM sahələr üzrə'!AK184</f>
        <v>358.71784791437142</v>
      </c>
      <c r="R160" s="5">
        <f>'[1]ÜDM sahələr üzrə'!AL184</f>
        <v>420.04124583256657</v>
      </c>
      <c r="S160" s="5">
        <f>'[1]ÜDM sahələr üzrə'!AM184</f>
        <v>466.56393636783127</v>
      </c>
      <c r="T160" s="6">
        <f>'[1]ÜDM sahələr üzrə'!AN184</f>
        <v>511.4765823360961</v>
      </c>
      <c r="U160" s="6">
        <f>'[1]ÜDM sahələr üzrə'!AO184</f>
        <v>513.61934384299161</v>
      </c>
    </row>
    <row r="161" spans="1:21" customFormat="1" ht="14" hidden="1">
      <c r="A161" s="70" t="s">
        <v>71</v>
      </c>
      <c r="B161" s="4" t="s">
        <v>72</v>
      </c>
      <c r="C161" s="153" t="s">
        <v>12</v>
      </c>
      <c r="D161" s="59">
        <v>38.4</v>
      </c>
      <c r="E161" s="5">
        <v>49.1</v>
      </c>
      <c r="F161" s="5">
        <v>54.955652771084338</v>
      </c>
      <c r="G161" s="5">
        <v>60.398522971821897</v>
      </c>
      <c r="H161" s="59">
        <v>112.6</v>
      </c>
      <c r="I161" s="59">
        <f>'[1]ÜDM sahələr üzrə'!AC185</f>
        <v>94.4</v>
      </c>
      <c r="J161" s="5">
        <f>'[1]ÜDM sahələr üzrə'!AD185</f>
        <v>92.3</v>
      </c>
      <c r="K161" s="6">
        <f>'[1]ÜDM sahələr üzrə'!AE185</f>
        <v>96.900000000000034</v>
      </c>
      <c r="L161" s="5">
        <f>'[1]ÜDM sahələr üzrə'!AF185</f>
        <v>133.44999999999999</v>
      </c>
      <c r="M161" s="5">
        <f>'[1]ÜDM sahələr üzrə'!AG185</f>
        <v>138.4</v>
      </c>
      <c r="N161" s="5">
        <f>'[1]ÜDM sahələr üzrə'!AH185</f>
        <v>119.7</v>
      </c>
      <c r="O161" s="5">
        <f>'[1]ÜDM sahələr üzrə'!AI185</f>
        <v>141.80000000000001</v>
      </c>
      <c r="P161" s="59">
        <f>'[1]ÜDM sahələr üzrə'!AJ185</f>
        <v>163.24002142465045</v>
      </c>
      <c r="Q161" s="5">
        <f>'[1]ÜDM sahələr üzrə'!AK185</f>
        <v>183.96452381286755</v>
      </c>
      <c r="R161" s="5">
        <f>'[1]ÜDM sahələr üzrə'!AL185</f>
        <v>215.4135575372801</v>
      </c>
      <c r="S161" s="5">
        <f>'[1]ÜDM sahələr üzrə'!AM185</f>
        <v>239.27221040491312</v>
      </c>
      <c r="T161" s="6">
        <f>'[1]ÜDM sahələr üzrə'!AN185</f>
        <v>262.30516953077193</v>
      </c>
      <c r="U161" s="6">
        <f>'[1]ÜDM sahələr üzrə'!AO185</f>
        <v>263.40406132707494</v>
      </c>
    </row>
    <row r="162" spans="1:21" customFormat="1" ht="14" hidden="1">
      <c r="A162" s="70"/>
      <c r="B162" s="4" t="s">
        <v>73</v>
      </c>
      <c r="C162" s="153" t="s">
        <v>6</v>
      </c>
      <c r="D162" s="59">
        <v>37.137330754352028</v>
      </c>
      <c r="E162" s="5">
        <v>37.310030395136778</v>
      </c>
      <c r="F162" s="5">
        <v>37.486802708788773</v>
      </c>
      <c r="G162" s="5">
        <v>37.4</v>
      </c>
      <c r="H162" s="59">
        <v>37.383798140770253</v>
      </c>
      <c r="I162" s="59">
        <f>'[1]ÜDM sahələr üzrə'!AC186</f>
        <v>42.714932126696837</v>
      </c>
      <c r="J162" s="5">
        <f>'[1]ÜDM sahələr üzrə'!AD186</f>
        <v>37.520325203252028</v>
      </c>
      <c r="K162" s="6">
        <f>'[1]ÜDM sahələr üzrə'!AE186</f>
        <v>36.552244436061876</v>
      </c>
      <c r="L162" s="5">
        <f>'[1]ÜDM sahələr üzrə'!AF186</f>
        <v>34.980340760157269</v>
      </c>
      <c r="M162" s="5">
        <f>'[1]ÜDM sahələr üzrə'!AG186</f>
        <v>32.656913638508733</v>
      </c>
      <c r="N162" s="5">
        <f>'[1]ÜDM sahələr üzrə'!AH186</f>
        <v>33.909348441926348</v>
      </c>
      <c r="O162" s="5">
        <f>'[1]ÜDM sahələr üzrə'!AI186</f>
        <v>33.89911546736792</v>
      </c>
      <c r="P162" s="59">
        <f>'[1]ÜDM sahələr üzrə'!AJ186</f>
        <v>33.89911546736792</v>
      </c>
      <c r="Q162" s="5">
        <f>'[1]ÜDM sahələr üzrə'!AK186</f>
        <v>33.89911546736792</v>
      </c>
      <c r="R162" s="5">
        <f>'[1]ÜDM sahələr üzrə'!AL186</f>
        <v>33.89911546736792</v>
      </c>
      <c r="S162" s="5">
        <f>'[1]ÜDM sahələr üzrə'!AM186</f>
        <v>33.89911546736792</v>
      </c>
      <c r="T162" s="6">
        <f>'[1]ÜDM sahələr üzrə'!AN186</f>
        <v>33.89911546736792</v>
      </c>
      <c r="U162" s="6">
        <f>'[1]ÜDM sahələr üzrə'!AO186</f>
        <v>33.89911546736792</v>
      </c>
    </row>
    <row r="163" spans="1:21" customFormat="1" ht="14" hidden="1">
      <c r="A163" s="70"/>
      <c r="B163" s="4" t="s">
        <v>16</v>
      </c>
      <c r="C163" s="153" t="s">
        <v>6</v>
      </c>
      <c r="D163" s="59">
        <v>-43</v>
      </c>
      <c r="E163" s="5">
        <v>16.599999999999994</v>
      </c>
      <c r="F163" s="5">
        <v>10</v>
      </c>
      <c r="G163" s="5">
        <v>-13.2</v>
      </c>
      <c r="H163" s="59">
        <v>34.799999999999997</v>
      </c>
      <c r="I163" s="59">
        <f>'[1]ÜDM sahələr üzrə'!AC187</f>
        <v>-27.35</v>
      </c>
      <c r="J163" s="5">
        <f>'[1]ÜDM sahələr üzrə'!AD187</f>
        <v>79.95</v>
      </c>
      <c r="K163" s="6">
        <f>'[1]ÜDM sahələr üzrə'!AE187</f>
        <v>2.2000000000000002</v>
      </c>
      <c r="L163" s="5">
        <f>'[1]ÜDM sahələr üzrə'!AF187</f>
        <v>28.7</v>
      </c>
      <c r="M163" s="5">
        <f>'[1]ÜDM sahələr üzrə'!AG187</f>
        <v>-0.3</v>
      </c>
      <c r="N163" s="5">
        <f>'[1]ÜDM sahələr üzrə'!AH187</f>
        <v>-21.3</v>
      </c>
      <c r="O163" s="5">
        <f>'[1]ÜDM sahələr üzrə'!AI187</f>
        <v>12.2</v>
      </c>
      <c r="P163" s="59">
        <f>'[1]ÜDM sahələr üzrə'!AJ187</f>
        <v>8.6944182881441918</v>
      </c>
      <c r="Q163" s="5">
        <f>'[1]ÜDM sahələr üzrə'!AK187</f>
        <v>8.2825513685608172</v>
      </c>
      <c r="R163" s="5">
        <f>'[1]ÜDM sahələr üzrə'!AL187</f>
        <v>11.744164845484377</v>
      </c>
      <c r="S163" s="5">
        <f>'[1]ÜDM sahələr üzrə'!AM187</f>
        <v>7.47876037814261</v>
      </c>
      <c r="T163" s="6">
        <f>'[1]ÜDM sahələr üzrə'!AN187</f>
        <v>6.9921850429009282</v>
      </c>
      <c r="U163" s="6">
        <f>'[1]ÜDM sahələr üzrə'!AO187</f>
        <v>8.6067689195644874</v>
      </c>
    </row>
    <row r="164" spans="1:21" customFormat="1" ht="14" hidden="1">
      <c r="A164" s="71"/>
      <c r="B164" s="9" t="s">
        <v>56</v>
      </c>
      <c r="C164" s="154" t="s">
        <v>6</v>
      </c>
      <c r="D164" s="60">
        <v>0.25062656641603098</v>
      </c>
      <c r="E164" s="10">
        <v>9.4</v>
      </c>
      <c r="F164" s="10">
        <v>1.9</v>
      </c>
      <c r="G164" s="10">
        <v>26.617642230003781</v>
      </c>
      <c r="H164" s="60">
        <v>38.299999999999983</v>
      </c>
      <c r="I164" s="59">
        <f>'[1]ÜDM sahələr üzrə'!AC188</f>
        <v>15.44918630643015</v>
      </c>
      <c r="J164" s="10">
        <f>'[1]ÜDM sahələr üzrə'!AD188</f>
        <v>-45.665227158203095</v>
      </c>
      <c r="K164" s="11">
        <f>'[1]ÜDM sahələr üzrə'!AE188</f>
        <v>2.723824506575852</v>
      </c>
      <c r="L164" s="10">
        <f>'[1]ÜDM sahələr üzrə'!AF188</f>
        <v>7.0080017448438241</v>
      </c>
      <c r="M164" s="10">
        <f>'[1]ÜDM sahələr üzrə'!AG188</f>
        <v>4.0213183574703208</v>
      </c>
      <c r="N164" s="10">
        <f>'[1]ÜDM sahələr üzrə'!AH188</f>
        <v>9.8963650652584221</v>
      </c>
      <c r="O164" s="10">
        <f>'[1]ÜDM sahələr üzrə'!AI188</f>
        <v>5.5818393279693908</v>
      </c>
      <c r="P164" s="60">
        <f>'[1]ÜDM sahələr üzrə'!AJ188</f>
        <v>5.9115123730693</v>
      </c>
      <c r="Q164" s="10">
        <f>'[1]ÜDM sahələr üzrə'!AK188</f>
        <v>4.07560817475958</v>
      </c>
      <c r="R164" s="10">
        <f>'[1]ÜDM sahələr üzrə'!AL188</f>
        <v>4.788614560295585</v>
      </c>
      <c r="S164" s="10">
        <f>'[1]ÜDM sahələr üzrə'!AM188</f>
        <v>3.3466919442497414</v>
      </c>
      <c r="T164" s="11">
        <f>'[1]ÜDM sahələr üzrə'!AN188</f>
        <v>2.4619297821156607</v>
      </c>
      <c r="U164" s="11">
        <f>'[1]ÜDM sahələr üzrə'!AO188</f>
        <v>-7.5389707432450734</v>
      </c>
    </row>
    <row r="165" spans="1:21" customFormat="1" ht="28" hidden="1">
      <c r="A165" s="69" t="s">
        <v>112</v>
      </c>
      <c r="B165" s="26" t="s">
        <v>113</v>
      </c>
      <c r="C165" s="164"/>
      <c r="D165" s="40"/>
      <c r="E165" s="18"/>
      <c r="F165" s="18"/>
      <c r="G165" s="18"/>
      <c r="H165" s="40"/>
      <c r="I165" s="94"/>
      <c r="J165" s="18"/>
      <c r="K165" s="19"/>
      <c r="L165" s="18"/>
      <c r="M165" s="18"/>
      <c r="N165" s="18"/>
      <c r="O165" s="18"/>
      <c r="P165" s="40"/>
      <c r="Q165" s="18"/>
      <c r="R165" s="18"/>
      <c r="S165" s="18"/>
      <c r="T165" s="19"/>
      <c r="U165" s="19"/>
    </row>
    <row r="166" spans="1:21" customFormat="1" ht="14" hidden="1">
      <c r="A166" s="70" t="s">
        <v>67</v>
      </c>
      <c r="B166" s="4" t="s">
        <v>68</v>
      </c>
      <c r="C166" s="153" t="s">
        <v>12</v>
      </c>
      <c r="D166" s="59">
        <v>106.3</v>
      </c>
      <c r="E166" s="5">
        <v>65.400000000000006</v>
      </c>
      <c r="F166" s="5">
        <v>77.099999999999994</v>
      </c>
      <c r="G166" s="5">
        <v>89.3</v>
      </c>
      <c r="H166" s="59">
        <v>79.400000000000006</v>
      </c>
      <c r="I166" s="59">
        <f>'[1]ÜDM sahələr üzrə'!AC190</f>
        <v>89.9</v>
      </c>
      <c r="J166" s="5">
        <f>'[1]ÜDM sahələr üzrə'!AD190</f>
        <v>85.7</v>
      </c>
      <c r="K166" s="6">
        <f>'[1]ÜDM sahələr üzrə'!AE190</f>
        <v>75.5</v>
      </c>
      <c r="L166" s="5">
        <f>'[1]ÜDM sahələr üzrə'!AF190</f>
        <v>48.6</v>
      </c>
      <c r="M166" s="5">
        <f>'[1]ÜDM sahələr üzrə'!AG190</f>
        <v>50.9</v>
      </c>
      <c r="N166" s="5">
        <f>'[1]ÜDM sahələr üzrə'!AH190</f>
        <v>66</v>
      </c>
      <c r="O166" s="5">
        <f>'[1]ÜDM sahələr üzrə'!AI190</f>
        <v>77</v>
      </c>
      <c r="P166" s="59">
        <f>'[1]ÜDM sahələr üzrə'!AJ190</f>
        <v>74.687280443295663</v>
      </c>
      <c r="Q166" s="5">
        <f>'[1]ÜDM sahələr üzrə'!AK190</f>
        <v>85.466564877487556</v>
      </c>
      <c r="R166" s="5">
        <f>'[1]ÜDM sahələr üzrə'!AL190</f>
        <v>89.943260145051013</v>
      </c>
      <c r="S166" s="5">
        <f>'[1]ÜDM sahələr üzrə'!AM190</f>
        <v>92.273636273759152</v>
      </c>
      <c r="T166" s="6">
        <f>'[1]ÜDM sahələr üzrə'!AN190</f>
        <v>95.093774341491212</v>
      </c>
      <c r="U166" s="6">
        <f>'[1]ÜDM sahələr üzrə'!AO190</f>
        <v>99.025916732926831</v>
      </c>
    </row>
    <row r="167" spans="1:21" customFormat="1" ht="14" hidden="1">
      <c r="A167" s="70" t="s">
        <v>69</v>
      </c>
      <c r="B167" s="4" t="s">
        <v>70</v>
      </c>
      <c r="C167" s="153" t="s">
        <v>12</v>
      </c>
      <c r="D167" s="59">
        <v>60.5</v>
      </c>
      <c r="E167" s="5">
        <v>37.200000000000003</v>
      </c>
      <c r="F167" s="5">
        <v>43.867053397999086</v>
      </c>
      <c r="G167" s="5">
        <v>50.459999999999994</v>
      </c>
      <c r="H167" s="59">
        <v>44.88</v>
      </c>
      <c r="I167" s="59">
        <f>'[1]ÜDM sahələr üzrə'!AC191</f>
        <v>50.7</v>
      </c>
      <c r="J167" s="5">
        <f>'[1]ÜDM sahələr üzrə'!AD191</f>
        <v>48.410000000000004</v>
      </c>
      <c r="K167" s="6">
        <f>'[1]ÜDM sahələr üzrə'!AE191</f>
        <v>43.3</v>
      </c>
      <c r="L167" s="5">
        <f>'[1]ÜDM sahələr üzrə'!AF191</f>
        <v>28.992000000000001</v>
      </c>
      <c r="M167" s="5">
        <f>'[1]ÜDM sahələr üzrə'!AG191</f>
        <v>30.7</v>
      </c>
      <c r="N167" s="5">
        <f>'[1]ÜDM sahələr üzrə'!AH191</f>
        <v>39.58</v>
      </c>
      <c r="O167" s="5">
        <f>'[1]ÜDM sahələr üzrə'!AI191</f>
        <v>46.19</v>
      </c>
      <c r="P167" s="59">
        <f>'[1]ÜDM sahələr üzrə'!AJ191</f>
        <v>44.802668619166582</v>
      </c>
      <c r="Q167" s="5">
        <f>'[1]ÜDM sahələr üzrə'!AK191</f>
        <v>51.268839372612341</v>
      </c>
      <c r="R167" s="5">
        <f>'[1]ÜDM sahələr üzrə'!AL191</f>
        <v>53.954275144154629</v>
      </c>
      <c r="S167" s="5">
        <f>'[1]ÜDM sahələr üzrə'!AM191</f>
        <v>55.352198175129033</v>
      </c>
      <c r="T167" s="6">
        <f>'[1]ÜDM sahələr üzrə'!AN191</f>
        <v>57.043914764071161</v>
      </c>
      <c r="U167" s="6">
        <f>'[1]ÜDM sahələr üzrə'!AO191</f>
        <v>59.402689531089486</v>
      </c>
    </row>
    <row r="168" spans="1:21" customFormat="1" ht="14" hidden="1">
      <c r="A168" s="70" t="s">
        <v>71</v>
      </c>
      <c r="B168" s="4" t="s">
        <v>72</v>
      </c>
      <c r="C168" s="153" t="s">
        <v>12</v>
      </c>
      <c r="D168" s="59">
        <v>45.8</v>
      </c>
      <c r="E168" s="5">
        <v>28.2</v>
      </c>
      <c r="F168" s="5">
        <v>33.232946602000908</v>
      </c>
      <c r="G168" s="5">
        <v>38.840000000000003</v>
      </c>
      <c r="H168" s="59">
        <v>34.520000000000003</v>
      </c>
      <c r="I168" s="59">
        <f>'[1]ÜDM sahələr üzrə'!AC192</f>
        <v>39.200000000000003</v>
      </c>
      <c r="J168" s="5">
        <f>'[1]ÜDM sahələr üzrə'!AD192</f>
        <v>37.29</v>
      </c>
      <c r="K168" s="6">
        <f>'[1]ÜDM sahələr üzrə'!AE192</f>
        <v>32.200000000000003</v>
      </c>
      <c r="L168" s="5">
        <f>'[1]ÜDM sahələr üzrə'!AF192</f>
        <v>19.608000000000001</v>
      </c>
      <c r="M168" s="5">
        <f>'[1]ÜDM sahələr üzrə'!AG192</f>
        <v>20.2</v>
      </c>
      <c r="N168" s="5">
        <f>'[1]ÜDM sahələr üzrə'!AH192</f>
        <v>26.42</v>
      </c>
      <c r="O168" s="5">
        <f>'[1]ÜDM sahələr üzrə'!AI192</f>
        <v>30.81</v>
      </c>
      <c r="P168" s="59">
        <f>'[1]ÜDM sahələr üzrə'!AJ192</f>
        <v>29.884611824129085</v>
      </c>
      <c r="Q168" s="5">
        <f>'[1]ÜDM sahələr üzrə'!AK192</f>
        <v>34.197725504875216</v>
      </c>
      <c r="R168" s="5">
        <f>'[1]ÜDM sahələr üzrə'!AL192</f>
        <v>35.988985000896385</v>
      </c>
      <c r="S168" s="5">
        <f>'[1]ÜDM sahələr üzrə'!AM192</f>
        <v>36.921438098630119</v>
      </c>
      <c r="T168" s="6">
        <f>'[1]ÜDM sahələr üzrə'!AN192</f>
        <v>38.049859577420051</v>
      </c>
      <c r="U168" s="6">
        <f>'[1]ÜDM sahələr üzrə'!AO192</f>
        <v>39.623227201837345</v>
      </c>
    </row>
    <row r="169" spans="1:21" customFormat="1" ht="14" hidden="1">
      <c r="A169" s="70"/>
      <c r="B169" s="4" t="s">
        <v>73</v>
      </c>
      <c r="C169" s="153" t="s">
        <v>6</v>
      </c>
      <c r="D169" s="59">
        <v>43.08560677328316</v>
      </c>
      <c r="E169" s="5">
        <v>43.11926605504587</v>
      </c>
      <c r="F169" s="5">
        <v>43.103692090792364</v>
      </c>
      <c r="G169" s="5">
        <v>43.493840985442333</v>
      </c>
      <c r="H169" s="59">
        <v>43.476070528967256</v>
      </c>
      <c r="I169" s="59">
        <f>'[1]ÜDM sahələr üzrə'!AC193</f>
        <v>43.604004449388214</v>
      </c>
      <c r="J169" s="5">
        <f>'[1]ÜDM sahələr üzrə'!AD193</f>
        <v>43.512252042006999</v>
      </c>
      <c r="K169" s="6">
        <f>'[1]ÜDM sahələr üzrə'!AE193</f>
        <v>42.649006622516559</v>
      </c>
      <c r="L169" s="5">
        <f>'[1]ÜDM sahələr üzrə'!AF193</f>
        <v>40.345679012345684</v>
      </c>
      <c r="M169" s="5">
        <f>'[1]ÜDM sahələr üzrə'!AG193</f>
        <v>39.685658153241647</v>
      </c>
      <c r="N169" s="5">
        <f>'[1]ÜDM sahələr üzrə'!AH193</f>
        <v>40.030303030303031</v>
      </c>
      <c r="O169" s="5">
        <f>'[1]ÜDM sahələr üzrə'!AI193</f>
        <v>40.012987012987011</v>
      </c>
      <c r="P169" s="59">
        <f>'[1]ÜDM sahələr üzrə'!AJ193</f>
        <v>40.012987012987011</v>
      </c>
      <c r="Q169" s="5">
        <f>'[1]ÜDM sahələr üzrə'!AK193</f>
        <v>40.012987012987011</v>
      </c>
      <c r="R169" s="5">
        <f>'[1]ÜDM sahələr üzrə'!AL193</f>
        <v>40.012987012987011</v>
      </c>
      <c r="S169" s="5">
        <f>'[1]ÜDM sahələr üzrə'!AM193</f>
        <v>40.012987012987011</v>
      </c>
      <c r="T169" s="6">
        <f>'[1]ÜDM sahələr üzrə'!AN193</f>
        <v>40.012987012987011</v>
      </c>
      <c r="U169" s="6">
        <f>'[1]ÜDM sahələr üzrə'!AO193</f>
        <v>40.012987012987011</v>
      </c>
    </row>
    <row r="170" spans="1:21" customFormat="1" ht="14" hidden="1">
      <c r="A170" s="70"/>
      <c r="B170" s="4" t="s">
        <v>16</v>
      </c>
      <c r="C170" s="153" t="s">
        <v>6</v>
      </c>
      <c r="D170" s="59">
        <v>53.5</v>
      </c>
      <c r="E170" s="5">
        <v>-38.1</v>
      </c>
      <c r="F170" s="5">
        <v>17</v>
      </c>
      <c r="G170" s="5">
        <v>1.7</v>
      </c>
      <c r="H170" s="59">
        <v>-17.899999999999999</v>
      </c>
      <c r="I170" s="59">
        <f>'[1]ÜDM sahələr üzrə'!AC194</f>
        <v>11.8</v>
      </c>
      <c r="J170" s="5">
        <f>'[1]ÜDM sahələr üzrə'!AD194</f>
        <v>-6.4</v>
      </c>
      <c r="K170" s="6">
        <f>'[1]ÜDM sahələr üzrə'!AE194</f>
        <v>-14.1</v>
      </c>
      <c r="L170" s="5">
        <f>'[1]ÜDM sahələr üzrə'!AF194</f>
        <v>-36.4</v>
      </c>
      <c r="M170" s="5">
        <f>'[1]ÜDM sahələr üzrə'!AG194</f>
        <v>-1.46</v>
      </c>
      <c r="N170" s="5">
        <f>'[1]ÜDM sahələr üzrə'!AH194</f>
        <v>27.48</v>
      </c>
      <c r="O170" s="5">
        <f>'[1]ÜDM sahələr üzrə'!AI194</f>
        <v>4.7</v>
      </c>
      <c r="P170" s="59">
        <f>'[1]ÜDM sahələr üzrə'!AJ194</f>
        <v>2.6658666141776024</v>
      </c>
      <c r="Q170" s="5">
        <f>'[1]ÜDM sahələr üzrə'!AK194</f>
        <v>5.112316170379529</v>
      </c>
      <c r="R170" s="5">
        <f>'[1]ÜDM sahələr üzrə'!AL194</f>
        <v>5.1819537520455583</v>
      </c>
      <c r="S170" s="5">
        <f>'[1]ÜDM sahələr üzrə'!AM194</f>
        <v>3.4270948249998696</v>
      </c>
      <c r="T170" s="6">
        <f>'[1]ÜDM sahələr üzrə'!AN194</f>
        <v>3.7301602337553845</v>
      </c>
      <c r="U170" s="6">
        <f>'[1]ÜDM sahələr üzrə'!AO194</f>
        <v>4.6662454925109103</v>
      </c>
    </row>
    <row r="171" spans="1:21" customFormat="1" ht="14" hidden="1">
      <c r="A171" s="71"/>
      <c r="B171" s="9" t="s">
        <v>56</v>
      </c>
      <c r="C171" s="154" t="s">
        <v>6</v>
      </c>
      <c r="D171" s="60">
        <v>3.6011581614187236</v>
      </c>
      <c r="E171" s="10">
        <v>-0.4</v>
      </c>
      <c r="F171" s="10">
        <v>0.8</v>
      </c>
      <c r="G171" s="10">
        <v>14.918359741566874</v>
      </c>
      <c r="H171" s="60">
        <v>8.2551107576477989</v>
      </c>
      <c r="I171" s="59">
        <f>'[1]ÜDM sahələr üzrə'!AC195</f>
        <v>1.5130625558710307</v>
      </c>
      <c r="J171" s="10">
        <f>'[1]ÜDM sahələr üzrə'!AD195</f>
        <v>1.6319989534275123</v>
      </c>
      <c r="K171" s="11">
        <f>'[1]ÜDM sahələr üzrə'!AE195</f>
        <v>0.52413031798405996</v>
      </c>
      <c r="L171" s="10">
        <f>'[1]ÜDM sahələr üzrə'!AF195</f>
        <v>-4.2540724247041055</v>
      </c>
      <c r="M171" s="10">
        <f>'[1]ÜDM sahələr üzrə'!AG195</f>
        <v>4.5455407414179092</v>
      </c>
      <c r="N171" s="10">
        <f>'[1]ÜDM sahələr üzrə'!AH195</f>
        <v>2.598116730405394</v>
      </c>
      <c r="O171" s="10">
        <f>'[1]ÜDM sahələr üzrə'!AI195</f>
        <v>11.381279702578368</v>
      </c>
      <c r="P171" s="60">
        <f>'[1]ÜDM sahələr üzrə'!AJ195</f>
        <v>-5.5221844347812663</v>
      </c>
      <c r="Q171" s="10">
        <f>'[1]ÜDM sahələr üzrə'!AK195</f>
        <v>8.8669352172699405</v>
      </c>
      <c r="R171" s="10">
        <f>'[1]ÜDM sahələr üzrə'!AL195</f>
        <v>5.3236762603887655E-2</v>
      </c>
      <c r="S171" s="10">
        <f>'[1]ÜDM sahələr üzrə'!AM195</f>
        <v>-0.80844828623351361</v>
      </c>
      <c r="T171" s="11">
        <f>'[1]ÜDM sahələr üzrə'!AN195</f>
        <v>-0.64965008715154227</v>
      </c>
      <c r="U171" s="11">
        <f>'[1]ÜDM sahələr üzrə'!AO195</f>
        <v>-0.50754653790738757</v>
      </c>
    </row>
    <row r="172" spans="1:21" customFormat="1" ht="14" hidden="1">
      <c r="A172" s="69" t="s">
        <v>114</v>
      </c>
      <c r="B172" s="26" t="s">
        <v>115</v>
      </c>
      <c r="C172" s="164"/>
      <c r="D172" s="40"/>
      <c r="E172" s="18"/>
      <c r="F172" s="18"/>
      <c r="G172" s="18"/>
      <c r="H172" s="40"/>
      <c r="I172" s="94"/>
      <c r="J172" s="18"/>
      <c r="K172" s="19"/>
      <c r="L172" s="18"/>
      <c r="M172" s="18"/>
      <c r="N172" s="18"/>
      <c r="O172" s="18"/>
      <c r="P172" s="40"/>
      <c r="Q172" s="18"/>
      <c r="R172" s="18"/>
      <c r="S172" s="18"/>
      <c r="T172" s="19"/>
      <c r="U172" s="19"/>
    </row>
    <row r="173" spans="1:21" customFormat="1" ht="14" hidden="1">
      <c r="A173" s="70" t="s">
        <v>67</v>
      </c>
      <c r="B173" s="4" t="s">
        <v>68</v>
      </c>
      <c r="C173" s="153" t="s">
        <v>12</v>
      </c>
      <c r="D173" s="59">
        <v>180.5</v>
      </c>
      <c r="E173" s="5">
        <v>162.30000000000001</v>
      </c>
      <c r="F173" s="5">
        <v>103.2</v>
      </c>
      <c r="G173" s="5">
        <v>83.2</v>
      </c>
      <c r="H173" s="59">
        <v>159.30000000000001</v>
      </c>
      <c r="I173" s="59">
        <f>'[1]ÜDM sahələr üzrə'!AC197</f>
        <v>205.4</v>
      </c>
      <c r="J173" s="5">
        <f>'[1]ÜDM sahələr üzrə'!AD197</f>
        <v>231.4</v>
      </c>
      <c r="K173" s="6">
        <f>'[1]ÜDM sahələr üzrə'!AE197</f>
        <v>215.6</v>
      </c>
      <c r="L173" s="5">
        <f>'[1]ÜDM sahələr üzrə'!AF197</f>
        <v>210.2</v>
      </c>
      <c r="M173" s="5">
        <f>'[1]ÜDM sahələr üzrə'!AG197</f>
        <v>186.9</v>
      </c>
      <c r="N173" s="5">
        <f>'[1]ÜDM sahələr üzrə'!AH197</f>
        <v>216.9</v>
      </c>
      <c r="O173" s="5">
        <f>'[1]ÜDM sahələr üzrə'!AI197</f>
        <v>251.9</v>
      </c>
      <c r="P173" s="59">
        <f>'[1]ÜDM sahələr üzrə'!AJ197</f>
        <v>284.99209003620234</v>
      </c>
      <c r="Q173" s="5">
        <f>'[1]ÜDM sahələr üzrə'!AK197</f>
        <v>310.49517096858307</v>
      </c>
      <c r="R173" s="5">
        <f>'[1]ÜDM sahələr üzrə'!AL197</f>
        <v>349.90519352921484</v>
      </c>
      <c r="S173" s="5">
        <f>'[1]ÜDM sahələr üzrə'!AM197</f>
        <v>374.4198594056607</v>
      </c>
      <c r="T173" s="6">
        <f>'[1]ÜDM sahələr üzrə'!AN197</f>
        <v>435.02415843602944</v>
      </c>
      <c r="U173" s="6">
        <f>'[1]ÜDM sahələr üzrə'!AO197</f>
        <v>506.78046985380115</v>
      </c>
    </row>
    <row r="174" spans="1:21" customFormat="1" ht="14" hidden="1">
      <c r="A174" s="70" t="s">
        <v>69</v>
      </c>
      <c r="B174" s="4" t="s">
        <v>70</v>
      </c>
      <c r="C174" s="153" t="s">
        <v>12</v>
      </c>
      <c r="D174" s="59">
        <v>138.9</v>
      </c>
      <c r="E174" s="5">
        <v>125.3</v>
      </c>
      <c r="F174" s="5">
        <v>79.900000000000006</v>
      </c>
      <c r="G174" s="5">
        <v>64.48</v>
      </c>
      <c r="H174" s="59">
        <v>123.30000000000001</v>
      </c>
      <c r="I174" s="59">
        <f>'[1]ÜDM sahələr üzrə'!AC198</f>
        <v>158.60000000000002</v>
      </c>
      <c r="J174" s="5">
        <f>'[1]ÜDM sahələr üzrə'!AD198</f>
        <v>178.3</v>
      </c>
      <c r="K174" s="6">
        <f>'[1]ÜDM sahələr üzrə'!AE198</f>
        <v>152.9</v>
      </c>
      <c r="L174" s="5">
        <f>'[1]ÜDM sahələr üzrə'!AF198</f>
        <v>154.5</v>
      </c>
      <c r="M174" s="5">
        <f>'[1]ÜDM sahələr üzrə'!AG198</f>
        <v>135.71</v>
      </c>
      <c r="N174" s="5">
        <f>'[1]ÜDM sahələr üzrə'!AH198</f>
        <v>149.41000000000003</v>
      </c>
      <c r="O174" s="5">
        <f>'[1]ÜDM sahələr üzrə'!AI198</f>
        <v>173.56</v>
      </c>
      <c r="P174" s="59">
        <f>'[1]ÜDM sahələr üzrə'!AJ198</f>
        <v>196.36056826789709</v>
      </c>
      <c r="Q174" s="5">
        <f>'[1]ÜDM sahələr üzrə'!AK198</f>
        <v>213.93228214889746</v>
      </c>
      <c r="R174" s="5">
        <f>'[1]ÜDM sahələr üzrə'!AL198</f>
        <v>241.08592849912873</v>
      </c>
      <c r="S174" s="5">
        <f>'[1]ÜDM sahələr üzrə'!AM198</f>
        <v>257.97662087513487</v>
      </c>
      <c r="T174" s="6">
        <f>'[1]ÜDM sahələr üzrə'!AN198</f>
        <v>299.73319943690854</v>
      </c>
      <c r="U174" s="6">
        <f>'[1]ÜDM sahələr üzrə'!AO198</f>
        <v>349.17355437802985</v>
      </c>
    </row>
    <row r="175" spans="1:21" customFormat="1" ht="14" hidden="1">
      <c r="A175" s="70" t="s">
        <v>71</v>
      </c>
      <c r="B175" s="4" t="s">
        <v>72</v>
      </c>
      <c r="C175" s="153" t="s">
        <v>12</v>
      </c>
      <c r="D175" s="59">
        <v>41.599999999999994</v>
      </c>
      <c r="E175" s="5">
        <v>37.000000000000014</v>
      </c>
      <c r="F175" s="5">
        <v>23.299999999999997</v>
      </c>
      <c r="G175" s="5">
        <v>18.72</v>
      </c>
      <c r="H175" s="59">
        <v>36</v>
      </c>
      <c r="I175" s="59">
        <f>'[1]ÜDM sahələr üzrə'!AC199</f>
        <v>46.8</v>
      </c>
      <c r="J175" s="5">
        <f>'[1]ÜDM sahələr üzrə'!AD199</f>
        <v>53.1</v>
      </c>
      <c r="K175" s="6">
        <f>'[1]ÜDM sahələr üzrə'!AE199</f>
        <v>62.699999999999989</v>
      </c>
      <c r="L175" s="5">
        <f>'[1]ÜDM sahələr üzrə'!AF199</f>
        <v>55.699999999999989</v>
      </c>
      <c r="M175" s="5">
        <f>'[1]ÜDM sahələr üzrə'!AG199</f>
        <v>51.19</v>
      </c>
      <c r="N175" s="5">
        <f>'[1]ÜDM sahələr üzrə'!AH199</f>
        <v>67.489999999999995</v>
      </c>
      <c r="O175" s="5">
        <f>'[1]ÜDM sahələr üzrə'!AI199</f>
        <v>78.34</v>
      </c>
      <c r="P175" s="59">
        <f>'[1]ÜDM sahələr üzrə'!AJ199</f>
        <v>88.631521768305248</v>
      </c>
      <c r="Q175" s="5">
        <f>'[1]ÜDM sahələr üzrə'!AK199</f>
        <v>96.562888819685597</v>
      </c>
      <c r="R175" s="5">
        <f>'[1]ÜDM sahələr üzrə'!AL199</f>
        <v>108.81926503008611</v>
      </c>
      <c r="S175" s="5">
        <f>'[1]ÜDM sahələr üzrə'!AM199</f>
        <v>116.44323853052585</v>
      </c>
      <c r="T175" s="6">
        <f>'[1]ÜDM sahələr üzrə'!AN199</f>
        <v>135.29095899912087</v>
      </c>
      <c r="U175" s="6">
        <f>'[1]ÜDM sahələr üzrə'!AO199</f>
        <v>157.60691547577127</v>
      </c>
    </row>
    <row r="176" spans="1:21" customFormat="1" ht="14" hidden="1">
      <c r="A176" s="70"/>
      <c r="B176" s="4" t="s">
        <v>73</v>
      </c>
      <c r="C176" s="153" t="s">
        <v>6</v>
      </c>
      <c r="D176" s="59">
        <v>23.047091412742379</v>
      </c>
      <c r="E176" s="5">
        <v>22.797288971041286</v>
      </c>
      <c r="F176" s="5">
        <v>22.577519379844958</v>
      </c>
      <c r="G176" s="5">
        <v>22.499999999999996</v>
      </c>
      <c r="H176" s="59">
        <v>22.598870056497173</v>
      </c>
      <c r="I176" s="59">
        <f>'[1]ÜDM sahələr üzrə'!AC200</f>
        <v>22.784810126582279</v>
      </c>
      <c r="J176" s="5">
        <f>'[1]ÜDM sahələr üzrə'!AD200</f>
        <v>22.947277441659462</v>
      </c>
      <c r="K176" s="6">
        <f>'[1]ÜDM sahələr üzrə'!AE200</f>
        <v>29.081632653061217</v>
      </c>
      <c r="L176" s="5">
        <f>'[1]ÜDM sahələr üzrə'!AF200</f>
        <v>26.498572787821118</v>
      </c>
      <c r="M176" s="5">
        <f>'[1]ÜDM sahələr üzrə'!AG200</f>
        <v>27.388978063135365</v>
      </c>
      <c r="N176" s="5">
        <f>'[1]ÜDM sahələr üzrə'!AH200</f>
        <v>31.115721530659286</v>
      </c>
      <c r="O176" s="5">
        <f>'[1]ÜDM sahələr üzrə'!AI200</f>
        <v>31.099642715363242</v>
      </c>
      <c r="P176" s="59">
        <f>'[1]ÜDM sahələr üzrə'!AJ200</f>
        <v>31.099642715363242</v>
      </c>
      <c r="Q176" s="5">
        <f>'[1]ÜDM sahələr üzrə'!AK200</f>
        <v>31.099642715363242</v>
      </c>
      <c r="R176" s="5">
        <f>'[1]ÜDM sahələr üzrə'!AL200</f>
        <v>31.099642715363242</v>
      </c>
      <c r="S176" s="5">
        <f>'[1]ÜDM sahələr üzrə'!AM200</f>
        <v>31.099642715363242</v>
      </c>
      <c r="T176" s="6">
        <f>'[1]ÜDM sahələr üzrə'!AN200</f>
        <v>31.099642715363242</v>
      </c>
      <c r="U176" s="6">
        <f>'[1]ÜDM sahələr üzrə'!AO200</f>
        <v>31.099642715363242</v>
      </c>
    </row>
    <row r="177" spans="1:21" customFormat="1" ht="14" hidden="1">
      <c r="A177" s="70"/>
      <c r="B177" s="4" t="s">
        <v>16</v>
      </c>
      <c r="C177" s="153" t="s">
        <v>6</v>
      </c>
      <c r="D177" s="59">
        <v>-2.7000000000000028</v>
      </c>
      <c r="E177" s="5">
        <v>18.799999999999997</v>
      </c>
      <c r="F177" s="5">
        <v>-37.700000000000003</v>
      </c>
      <c r="G177" s="5">
        <v>-26.599999999999994</v>
      </c>
      <c r="H177" s="59">
        <v>74.099999999999994</v>
      </c>
      <c r="I177" s="59">
        <f>'[1]ÜDM sahələr üzrə'!AC201</f>
        <v>26.9</v>
      </c>
      <c r="J177" s="5">
        <f>'[1]ÜDM sahələr üzrə'!AD201</f>
        <v>9.6</v>
      </c>
      <c r="K177" s="6">
        <f>'[1]ÜDM sahələr üzrə'!AE201</f>
        <v>747.2</v>
      </c>
      <c r="L177" s="5">
        <f>'[1]ÜDM sahələr üzrə'!AF201</f>
        <v>-0.59999999999999432</v>
      </c>
      <c r="M177" s="5">
        <f>'[1]ÜDM sahələr üzrə'!AG201</f>
        <v>-11.5</v>
      </c>
      <c r="N177" s="5">
        <f>'[1]ÜDM sahələr üzrə'!AH201</f>
        <v>15.4</v>
      </c>
      <c r="O177" s="5">
        <f>'[1]ÜDM sahələr üzrə'!AI201</f>
        <v>13.96</v>
      </c>
      <c r="P177" s="59">
        <f>'[1]ÜDM sahələr üzrə'!AJ201</f>
        <v>8.1782350544830678</v>
      </c>
      <c r="Q177" s="5">
        <f>'[1]ÜDM sahələr üzrə'!AK201</f>
        <v>8.0140484907240079</v>
      </c>
      <c r="R177" s="5">
        <f>'[1]ÜDM sahələr üzrə'!AL201</f>
        <v>11.648946220349202</v>
      </c>
      <c r="S177" s="5">
        <f>'[1]ÜDM sahələr üzrə'!AM201</f>
        <v>6.9966208180233025</v>
      </c>
      <c r="T177" s="6">
        <f>'[1]ÜDM sahələr üzrə'!AN201</f>
        <v>4.0509222399130635</v>
      </c>
      <c r="U177" s="6">
        <f>'[1]ÜDM sahələr üzrə'!AO201</f>
        <v>4.0816726841718776</v>
      </c>
    </row>
    <row r="178" spans="1:21" customFormat="1" ht="14" hidden="1">
      <c r="A178" s="71"/>
      <c r="B178" s="9" t="s">
        <v>56</v>
      </c>
      <c r="C178" s="154" t="s">
        <v>6</v>
      </c>
      <c r="D178" s="60">
        <v>6.3541490901096012</v>
      </c>
      <c r="E178" s="10">
        <v>-25.132737632737587</v>
      </c>
      <c r="F178" s="10">
        <v>1.2</v>
      </c>
      <c r="G178" s="10">
        <v>9.4596016886716399</v>
      </c>
      <c r="H178" s="60">
        <v>10.458180532850264</v>
      </c>
      <c r="I178" s="59">
        <f>'[1]ÜDM sahələr üzrə'!AC202</f>
        <v>2.4428684003152057</v>
      </c>
      <c r="J178" s="10">
        <f>'[1]ÜDM sahələr üzrə'!AD202</f>
        <v>3.5233015160022632</v>
      </c>
      <c r="K178" s="11">
        <f>'[1]ÜDM sahələr üzrə'!AE202</f>
        <v>-86.06242964527884</v>
      </c>
      <c r="L178" s="10">
        <f>'[1]ÜDM sahələr üzrə'!AF202</f>
        <v>-10.628042577634886</v>
      </c>
      <c r="M178" s="10">
        <f>'[1]ÜDM sahələr üzrə'!AG202</f>
        <v>3.8452565702056205</v>
      </c>
      <c r="N178" s="10">
        <f>'[1]ÜDM sahələr üzrə'!AH202</f>
        <v>14.247969385810094</v>
      </c>
      <c r="O178" s="10">
        <f>'[1]ÜDM sahələr üzrə'!AI202</f>
        <v>1.8571917964420805</v>
      </c>
      <c r="P178" s="60">
        <f>'[1]ÜDM sahələr üzrə'!AJ202</f>
        <v>4.5838793696468798</v>
      </c>
      <c r="Q178" s="10">
        <f>'[1]ÜDM sahələr üzrə'!AK202</f>
        <v>0.86530348299160664</v>
      </c>
      <c r="R178" s="10">
        <f>'[1]ÜDM sahələr üzrə'!AL202</f>
        <v>0.93479611254541339</v>
      </c>
      <c r="S178" s="10">
        <f>'[1]ÜDM sahələr üzrə'!AM202</f>
        <v>8.8481400924536047E-3</v>
      </c>
      <c r="T178" s="11">
        <f>'[1]ÜDM sahələr üzrə'!AN202</f>
        <v>11.662813372061237</v>
      </c>
      <c r="U178" s="11">
        <f>'[1]ÜDM sahələr üzrə'!AO202</f>
        <v>11.926321613506559</v>
      </c>
    </row>
    <row r="179" spans="1:21" customFormat="1" ht="28" hidden="1">
      <c r="A179" s="69" t="s">
        <v>116</v>
      </c>
      <c r="B179" s="26" t="s">
        <v>117</v>
      </c>
      <c r="C179" s="164"/>
      <c r="D179" s="40"/>
      <c r="E179" s="18"/>
      <c r="F179" s="18"/>
      <c r="G179" s="18"/>
      <c r="H179" s="40"/>
      <c r="I179" s="94"/>
      <c r="J179" s="18"/>
      <c r="K179" s="19"/>
      <c r="L179" s="18"/>
      <c r="M179" s="18"/>
      <c r="N179" s="18"/>
      <c r="O179" s="18"/>
      <c r="P179" s="40"/>
      <c r="Q179" s="18"/>
      <c r="R179" s="18"/>
      <c r="S179" s="18"/>
      <c r="T179" s="19"/>
      <c r="U179" s="19"/>
    </row>
    <row r="180" spans="1:21" customFormat="1" ht="14" hidden="1">
      <c r="A180" s="70" t="s">
        <v>67</v>
      </c>
      <c r="B180" s="4" t="s">
        <v>68</v>
      </c>
      <c r="C180" s="153" t="s">
        <v>12</v>
      </c>
      <c r="D180" s="59">
        <v>257</v>
      </c>
      <c r="E180" s="5">
        <v>357.2</v>
      </c>
      <c r="F180" s="5">
        <v>299.8</v>
      </c>
      <c r="G180" s="5">
        <v>303.10000000000002</v>
      </c>
      <c r="H180" s="59">
        <v>280.3</v>
      </c>
      <c r="I180" s="59">
        <f>'[1]ÜDM sahələr üzrə'!AC204</f>
        <v>284.60000000000002</v>
      </c>
      <c r="J180" s="5">
        <f>'[1]ÜDM sahələr üzrə'!AD204</f>
        <v>220.8</v>
      </c>
      <c r="K180" s="6">
        <f>'[1]ÜDM sahələr üzrə'!AE204</f>
        <v>262.10000000000002</v>
      </c>
      <c r="L180" s="5">
        <f>'[1]ÜDM sahələr üzrə'!AF204</f>
        <v>365</v>
      </c>
      <c r="M180" s="5">
        <f>'[1]ÜDM sahələr üzrə'!AG204</f>
        <v>384.5</v>
      </c>
      <c r="N180" s="5">
        <f>'[1]ÜDM sahələr üzrə'!AH204</f>
        <v>563.4</v>
      </c>
      <c r="O180" s="5">
        <f>'[1]ÜDM sahələr üzrə'!AI204</f>
        <v>534.70000000000005</v>
      </c>
      <c r="P180" s="59">
        <f>'[1]ÜDM sahələr üzrə'!AJ204</f>
        <v>582.01942690761769</v>
      </c>
      <c r="Q180" s="5">
        <f>'[1]ÜDM sahələr üzrə'!AK204</f>
        <v>619.21521560877352</v>
      </c>
      <c r="R180" s="5">
        <f>'[1]ÜDM sahələr üzrə'!AL204</f>
        <v>671.27687246137043</v>
      </c>
      <c r="S180" s="5">
        <f>'[1]ÜDM sahələr üzrə'!AM204</f>
        <v>714.81320439391061</v>
      </c>
      <c r="T180" s="6">
        <f>'[1]ÜDM sahələr üzrə'!AN204</f>
        <v>755.87775017166359</v>
      </c>
      <c r="U180" s="6">
        <f>'[1]ÜDM sahələr üzrə'!AO204</f>
        <v>807.13706364614006</v>
      </c>
    </row>
    <row r="181" spans="1:21" customFormat="1" ht="14" hidden="1">
      <c r="A181" s="70" t="s">
        <v>69</v>
      </c>
      <c r="B181" s="4" t="s">
        <v>70</v>
      </c>
      <c r="C181" s="153" t="s">
        <v>12</v>
      </c>
      <c r="D181" s="59">
        <v>183.4</v>
      </c>
      <c r="E181" s="5">
        <v>254.29999999999998</v>
      </c>
      <c r="F181" s="5">
        <v>213.3</v>
      </c>
      <c r="G181" s="5">
        <v>215.78000000000003</v>
      </c>
      <c r="H181" s="59">
        <v>199.60000000000002</v>
      </c>
      <c r="I181" s="59">
        <f>'[1]ÜDM sahələr üzrə'!AC205</f>
        <v>249.10000000000002</v>
      </c>
      <c r="J181" s="5">
        <f>'[1]ÜDM sahələr üzrə'!AD205</f>
        <v>156.93</v>
      </c>
      <c r="K181" s="6">
        <f>'[1]ÜDM sahələr üzrə'!AE205</f>
        <v>187.74</v>
      </c>
      <c r="L181" s="5">
        <f>'[1]ÜDM sahələr üzrə'!AF205</f>
        <v>250</v>
      </c>
      <c r="M181" s="5">
        <f>'[1]ÜDM sahələr üzrə'!AG205</f>
        <v>251.55</v>
      </c>
      <c r="N181" s="5">
        <f>'[1]ÜDM sahələr üzrə'!AH205</f>
        <v>349.9</v>
      </c>
      <c r="O181" s="5">
        <f>'[1]ÜDM sahələr üzrə'!AI205</f>
        <v>332.00000000000006</v>
      </c>
      <c r="P181" s="59">
        <f>'[1]ÜDM sahələr üzrə'!AJ205</f>
        <v>361.38105429835252</v>
      </c>
      <c r="Q181" s="5">
        <f>'[1]ÜDM sahələr üzrə'!AK205</f>
        <v>384.47625132244775</v>
      </c>
      <c r="R181" s="5">
        <f>'[1]ÜDM sahələr üzrə'!AL205</f>
        <v>416.80179849855062</v>
      </c>
      <c r="S181" s="5">
        <f>'[1]ÜDM sahələr üzrə'!AM205</f>
        <v>443.83389537830249</v>
      </c>
      <c r="T181" s="6">
        <f>'[1]ÜDM sahələr üzrə'!AN205</f>
        <v>469.33123818401407</v>
      </c>
      <c r="U181" s="6">
        <f>'[1]ÜDM sahələr üzrə'!AO205</f>
        <v>501.1586031990247</v>
      </c>
    </row>
    <row r="182" spans="1:21" customFormat="1" ht="14" hidden="1">
      <c r="A182" s="70" t="s">
        <v>71</v>
      </c>
      <c r="B182" s="4" t="s">
        <v>72</v>
      </c>
      <c r="C182" s="153" t="s">
        <v>12</v>
      </c>
      <c r="D182" s="59">
        <v>73.599999999999994</v>
      </c>
      <c r="E182" s="5">
        <v>102.9</v>
      </c>
      <c r="F182" s="5">
        <v>86.6</v>
      </c>
      <c r="G182" s="5">
        <v>87.32</v>
      </c>
      <c r="H182" s="59">
        <v>80.7</v>
      </c>
      <c r="I182" s="59">
        <f>'[1]ÜDM sahələr üzrə'!AC206</f>
        <v>35.5</v>
      </c>
      <c r="J182" s="5">
        <f>'[1]ÜDM sahələr üzrə'!AD206</f>
        <v>63.87</v>
      </c>
      <c r="K182" s="6">
        <f>'[1]ÜDM sahələr üzrə'!AE206</f>
        <v>74.36</v>
      </c>
      <c r="L182" s="5">
        <f>'[1]ÜDM sahələr üzrə'!AF206</f>
        <v>115</v>
      </c>
      <c r="M182" s="5">
        <f>'[1]ÜDM sahələr üzrə'!AG206</f>
        <v>132.94999999999999</v>
      </c>
      <c r="N182" s="5">
        <f>'[1]ÜDM sahələr üzrə'!AH206</f>
        <v>213.5</v>
      </c>
      <c r="O182" s="5">
        <f>'[1]ÜDM sahələr üzrə'!AI206</f>
        <v>202.7</v>
      </c>
      <c r="P182" s="59">
        <f>'[1]ÜDM sahələr üzrə'!AJ206</f>
        <v>220.63837260926516</v>
      </c>
      <c r="Q182" s="5">
        <f>'[1]ÜDM sahələr üzrə'!AK206</f>
        <v>234.73896428632577</v>
      </c>
      <c r="R182" s="5">
        <f>'[1]ÜDM sahələr üzrə'!AL206</f>
        <v>254.47507396281983</v>
      </c>
      <c r="S182" s="5">
        <f>'[1]ÜDM sahələr üzrə'!AM206</f>
        <v>270.97930901560812</v>
      </c>
      <c r="T182" s="6">
        <f>'[1]ÜDM sahələr üzrə'!AN206</f>
        <v>286.54651198764952</v>
      </c>
      <c r="U182" s="6">
        <f>'[1]ÜDM sahələr üzrə'!AO206</f>
        <v>305.97846044711537</v>
      </c>
    </row>
    <row r="183" spans="1:21" customFormat="1" ht="14" hidden="1">
      <c r="A183" s="70"/>
      <c r="B183" s="4" t="s">
        <v>73</v>
      </c>
      <c r="C183" s="153" t="s">
        <v>6</v>
      </c>
      <c r="D183" s="59">
        <v>28.638132295719842</v>
      </c>
      <c r="E183" s="5">
        <v>28.807390817469209</v>
      </c>
      <c r="F183" s="5">
        <v>28.885923949299531</v>
      </c>
      <c r="G183" s="5">
        <v>28.808973935994718</v>
      </c>
      <c r="H183" s="59">
        <v>28.790581519800213</v>
      </c>
      <c r="I183" s="59">
        <f>'[1]ÜDM sahələr üzrə'!AC207</f>
        <v>12.473647224174279</v>
      </c>
      <c r="J183" s="5">
        <f>'[1]ÜDM sahələr üzrə'!AD207</f>
        <v>28.926630434782609</v>
      </c>
      <c r="K183" s="6">
        <f>'[1]ÜDM sahələr üzrə'!AE207</f>
        <v>28.370850820297594</v>
      </c>
      <c r="L183" s="5">
        <f>'[1]ÜDM sahələr üzrə'!AF207</f>
        <v>31.506849315068493</v>
      </c>
      <c r="M183" s="5">
        <f>'[1]ÜDM sahələr üzrə'!AG207</f>
        <v>34.577373211963582</v>
      </c>
      <c r="N183" s="5">
        <f>'[1]ÜDM sahələr üzrə'!AH207</f>
        <v>37.894923677671279</v>
      </c>
      <c r="O183" s="5">
        <f>'[1]ÜDM sahələr üzrə'!AI207</f>
        <v>37.909107910978115</v>
      </c>
      <c r="P183" s="59">
        <f>'[1]ÜDM sahələr üzrə'!AJ207</f>
        <v>37.909107910978115</v>
      </c>
      <c r="Q183" s="5">
        <f>'[1]ÜDM sahələr üzrə'!AK207</f>
        <v>37.909107910978115</v>
      </c>
      <c r="R183" s="5">
        <f>'[1]ÜDM sahələr üzrə'!AL207</f>
        <v>37.909107910978115</v>
      </c>
      <c r="S183" s="5">
        <f>'[1]ÜDM sahələr üzrə'!AM207</f>
        <v>37.909107910978115</v>
      </c>
      <c r="T183" s="6">
        <f>'[1]ÜDM sahələr üzrə'!AN207</f>
        <v>37.909107910978115</v>
      </c>
      <c r="U183" s="6">
        <f>'[1]ÜDM sahələr üzrə'!AO207</f>
        <v>37.909107910978115</v>
      </c>
    </row>
    <row r="184" spans="1:21" customFormat="1" ht="14" hidden="1">
      <c r="A184" s="70"/>
      <c r="B184" s="4" t="s">
        <v>16</v>
      </c>
      <c r="C184" s="153" t="s">
        <v>6</v>
      </c>
      <c r="D184" s="59">
        <v>72.5</v>
      </c>
      <c r="E184" s="5">
        <v>38</v>
      </c>
      <c r="F184" s="5">
        <v>-19.100000000000001</v>
      </c>
      <c r="G184" s="5">
        <v>-3.3</v>
      </c>
      <c r="H184" s="59">
        <v>-13.1</v>
      </c>
      <c r="I184" s="59">
        <f>'[1]ÜDM sahələr üzrə'!AC208</f>
        <v>1.7</v>
      </c>
      <c r="J184" s="5">
        <f>'[1]ÜDM sahələr üzrə'!AD208</f>
        <v>32.299999999999997</v>
      </c>
      <c r="K184" s="6">
        <f>'[1]ÜDM sahələr üzrə'!AE208</f>
        <v>21.64</v>
      </c>
      <c r="L184" s="5">
        <f>'[1]ÜDM sahələr üzrə'!AF208</f>
        <v>36</v>
      </c>
      <c r="M184" s="5">
        <f>'[1]ÜDM sahələr üzrə'!AG208</f>
        <v>-4.46</v>
      </c>
      <c r="N184" s="5">
        <f>'[1]ÜDM sahələr üzrə'!AH208</f>
        <v>60.35</v>
      </c>
      <c r="O184" s="5">
        <f>'[1]ÜDM sahələr üzrə'!AI208</f>
        <v>-5.66</v>
      </c>
      <c r="P184" s="59">
        <f>'[1]ÜDM sahələr üzrə'!AJ208</f>
        <v>5.076218008968155</v>
      </c>
      <c r="Q184" s="5">
        <f>'[1]ÜDM sahələr üzrə'!AK208</f>
        <v>4.1617541255114361</v>
      </c>
      <c r="R184" s="5">
        <f>'[1]ÜDM sahələr üzrə'!AL208</f>
        <v>6.3490636221164465</v>
      </c>
      <c r="S184" s="5">
        <f>'[1]ÜDM sahələr üzrə'!AM208</f>
        <v>4.5513989835670827</v>
      </c>
      <c r="T184" s="6">
        <f>'[1]ÜDM sahələr üzrə'!AN208</f>
        <v>3.8240490506669573</v>
      </c>
      <c r="U184" s="6">
        <f>'[1]ÜDM sahələr üzrə'!AO208</f>
        <v>4.8418547557840697</v>
      </c>
    </row>
    <row r="185" spans="1:21" customFormat="1" ht="14" hidden="1">
      <c r="A185" s="71"/>
      <c r="B185" s="9" t="s">
        <v>56</v>
      </c>
      <c r="C185" s="154" t="s">
        <v>6</v>
      </c>
      <c r="D185" s="60">
        <v>8.8435374149659509</v>
      </c>
      <c r="E185" s="10">
        <v>1.2</v>
      </c>
      <c r="F185" s="10">
        <v>4.0288974498504899</v>
      </c>
      <c r="G185" s="10">
        <v>4.2723979069095179</v>
      </c>
      <c r="H185" s="60">
        <v>6.3506212615845925</v>
      </c>
      <c r="I185" s="59">
        <f>'[1]ÜDM sahələr üzrə'!AC209</f>
        <v>-56.745244109128699</v>
      </c>
      <c r="J185" s="10">
        <f>'[1]ÜDM sahələr üzrə'!AD209</f>
        <v>35.990546453323105</v>
      </c>
      <c r="K185" s="11">
        <f>'[1]ÜDM sahələr üzrə'!AE209</f>
        <v>-4.2880744639810331</v>
      </c>
      <c r="L185" s="10">
        <f>'[1]ÜDM sahələr üzrə'!AF209</f>
        <v>13.71547005031168</v>
      </c>
      <c r="M185" s="10">
        <f>'[1]ÜDM sahələr üzrə'!AG209</f>
        <v>21.00554286390404</v>
      </c>
      <c r="N185" s="10">
        <f>'[1]ÜDM sahələr üzrə'!AH209</f>
        <v>0.14760631389614787</v>
      </c>
      <c r="O185" s="10">
        <f>'[1]ÜDM sahələr üzrə'!AI209</f>
        <v>0.63753655992400127</v>
      </c>
      <c r="P185" s="60">
        <f>'[1]ÜDM sahələr üzrə'!AJ209</f>
        <v>3.5911999999999296</v>
      </c>
      <c r="Q185" s="10">
        <f>'[1]ÜDM sahələr üzrə'!AK209</f>
        <v>2.140000000000029</v>
      </c>
      <c r="R185" s="10">
        <f>'[1]ÜDM sahələr üzrə'!AL209</f>
        <v>1.9357200000000034</v>
      </c>
      <c r="S185" s="10">
        <f>'[1]ÜDM sahələr üzrə'!AM209</f>
        <v>1.8499999999999517</v>
      </c>
      <c r="T185" s="11">
        <f>'[1]ÜDM sahələr üzrə'!AN209</f>
        <v>1.8499999999999943</v>
      </c>
      <c r="U185" s="11">
        <f>'[1]ÜDM sahələr üzrə'!AO209</f>
        <v>1.8500000000000369</v>
      </c>
    </row>
    <row r="186" spans="1:21" customFormat="1" ht="14" hidden="1">
      <c r="A186" s="69" t="s">
        <v>36</v>
      </c>
      <c r="B186" s="26" t="s">
        <v>118</v>
      </c>
      <c r="C186" s="164"/>
      <c r="D186" s="40"/>
      <c r="E186" s="18"/>
      <c r="F186" s="18"/>
      <c r="G186" s="18"/>
      <c r="H186" s="40"/>
      <c r="I186" s="59">
        <f>'[1]ÜDM sahələr üzrə'!AC210</f>
        <v>0</v>
      </c>
      <c r="J186" s="18">
        <f>'[1]ÜDM sahələr üzrə'!AD210</f>
        <v>0</v>
      </c>
      <c r="K186" s="19">
        <f>'[1]ÜDM sahələr üzrə'!AE210</f>
        <v>0</v>
      </c>
      <c r="L186" s="18">
        <f>'[1]ÜDM sahələr üzrə'!AF210</f>
        <v>0</v>
      </c>
      <c r="M186" s="18">
        <f>'[1]ÜDM sahələr üzrə'!AG210</f>
        <v>0</v>
      </c>
      <c r="N186" s="18">
        <f>'[1]ÜDM sahələr üzrə'!AH210</f>
        <v>0</v>
      </c>
      <c r="O186" s="18">
        <f>'[1]ÜDM sahələr üzrə'!AI210</f>
        <v>0</v>
      </c>
      <c r="P186" s="40">
        <f>'[1]ÜDM sahələr üzrə'!AJ210</f>
        <v>0</v>
      </c>
      <c r="Q186" s="18">
        <f>'[1]ÜDM sahələr üzrə'!AK210</f>
        <v>0</v>
      </c>
      <c r="R186" s="18">
        <f>'[1]ÜDM sahələr üzrə'!AL210</f>
        <v>0</v>
      </c>
      <c r="S186" s="18">
        <f>'[1]ÜDM sahələr üzrə'!AM210</f>
        <v>0</v>
      </c>
      <c r="T186" s="19">
        <f>'[1]ÜDM sahələr üzrə'!AN210</f>
        <v>0</v>
      </c>
      <c r="U186" s="19">
        <f>'[1]ÜDM sahələr üzrə'!AO210</f>
        <v>0</v>
      </c>
    </row>
    <row r="187" spans="1:21" customFormat="1" ht="14" hidden="1">
      <c r="A187" s="70" t="s">
        <v>67</v>
      </c>
      <c r="B187" s="4" t="s">
        <v>68</v>
      </c>
      <c r="C187" s="153" t="s">
        <v>12</v>
      </c>
      <c r="D187" s="59">
        <v>4.5999999999999996</v>
      </c>
      <c r="E187" s="5">
        <v>3.7</v>
      </c>
      <c r="F187" s="5">
        <v>4.8</v>
      </c>
      <c r="G187" s="5">
        <v>6.7</v>
      </c>
      <c r="H187" s="59">
        <v>0.1</v>
      </c>
      <c r="I187" s="59">
        <f>'[1]ÜDM sahələr üzrə'!AC211</f>
        <v>1.7</v>
      </c>
      <c r="J187" s="5">
        <f>'[1]ÜDM sahələr üzrə'!AD211</f>
        <v>97.5</v>
      </c>
      <c r="K187" s="6">
        <f>'[1]ÜDM sahələr üzrə'!AE211</f>
        <v>74.900000000000006</v>
      </c>
      <c r="L187" s="5">
        <f>'[1]ÜDM sahələr üzrə'!AF211</f>
        <v>87.4</v>
      </c>
      <c r="M187" s="5">
        <f>'[1]ÜDM sahələr üzrə'!AG211</f>
        <v>129.9</v>
      </c>
      <c r="N187" s="5">
        <f>'[1]ÜDM sahələr üzrə'!AH211</f>
        <v>193.7</v>
      </c>
      <c r="O187" s="5">
        <f>'[1]ÜDM sahələr üzrə'!AI211</f>
        <v>274.2</v>
      </c>
      <c r="P187" s="59">
        <f>'[1]ÜDM sahələr üzrə'!AJ211</f>
        <v>366.34808119660954</v>
      </c>
      <c r="Q187" s="5">
        <f>'[1]ÜDM sahələr üzrə'!AK211</f>
        <v>566.61913941945636</v>
      </c>
      <c r="R187" s="5">
        <f>'[1]ÜDM sahələr üzrə'!AL211</f>
        <v>796.81400193994114</v>
      </c>
      <c r="S187" s="5">
        <f>'[1]ÜDM sahələr üzrə'!AM211</f>
        <v>1044.5748103079695</v>
      </c>
      <c r="T187" s="6">
        <f>'[1]ÜDM sahələr üzrə'!AN211</f>
        <v>1281.9492155121627</v>
      </c>
      <c r="U187" s="6">
        <f>'[1]ÜDM sahələr üzrə'!AO211</f>
        <v>992.44716703625977</v>
      </c>
    </row>
    <row r="188" spans="1:21" customFormat="1" ht="14" hidden="1">
      <c r="A188" s="70" t="s">
        <v>69</v>
      </c>
      <c r="B188" s="4" t="s">
        <v>70</v>
      </c>
      <c r="C188" s="153" t="s">
        <v>12</v>
      </c>
      <c r="D188" s="59">
        <v>2.6999999999999997</v>
      </c>
      <c r="E188" s="5">
        <v>2.2000000000000002</v>
      </c>
      <c r="F188" s="5">
        <v>2.5857818815052944</v>
      </c>
      <c r="G188" s="5">
        <v>3.8040000000000003</v>
      </c>
      <c r="H188" s="59">
        <v>5.6670000000000005E-2</v>
      </c>
      <c r="I188" s="59">
        <f>'[1]ÜDM sahələr üzrə'!AC212</f>
        <v>-45.65</v>
      </c>
      <c r="J188" s="5">
        <f>'[1]ÜDM sahələr üzrə'!AD212</f>
        <v>53.8</v>
      </c>
      <c r="K188" s="6">
        <f>'[1]ÜDM sahələr üzrə'!AE212</f>
        <v>41.710000000000008</v>
      </c>
      <c r="L188" s="5">
        <f>'[1]ÜDM sahələr üzrə'!AF212</f>
        <v>62.3</v>
      </c>
      <c r="M188" s="5">
        <f>'[1]ÜDM sahələr üzrə'!AG212</f>
        <v>98.350000000000009</v>
      </c>
      <c r="N188" s="5">
        <f>'[1]ÜDM sahələr üzrə'!AH212</f>
        <v>147.64999999999998</v>
      </c>
      <c r="O188" s="5">
        <f>'[1]ÜDM sahələr üzrə'!AI212</f>
        <v>208.95</v>
      </c>
      <c r="P188" s="59">
        <f>'[1]ÜDM sahələr üzrə'!AJ212</f>
        <v>279.17006406284304</v>
      </c>
      <c r="Q188" s="5">
        <f>'[1]ÜDM sahələr üzrə'!AK212</f>
        <v>431.78362210683952</v>
      </c>
      <c r="R188" s="5">
        <f>'[1]ÜDM sahələr üzrə'!AL212</f>
        <v>607.20016668618052</v>
      </c>
      <c r="S188" s="5">
        <f>'[1]ÜDM sahələr üzrə'!AM212</f>
        <v>796.00257700164207</v>
      </c>
      <c r="T188" s="6">
        <f>'[1]ÜDM sahələr üzrə'!AN212</f>
        <v>976.89018446851344</v>
      </c>
      <c r="U188" s="6">
        <f>'[1]ÜDM sahələr üzrə'!AO212</f>
        <v>756.2794877907603</v>
      </c>
    </row>
    <row r="189" spans="1:21" customFormat="1" ht="14" hidden="1">
      <c r="A189" s="70" t="s">
        <v>71</v>
      </c>
      <c r="B189" s="4" t="s">
        <v>72</v>
      </c>
      <c r="C189" s="153" t="s">
        <v>12</v>
      </c>
      <c r="D189" s="59">
        <v>1.9</v>
      </c>
      <c r="E189" s="5">
        <v>1.5</v>
      </c>
      <c r="F189" s="5">
        <v>2.2142181184947054</v>
      </c>
      <c r="G189" s="5">
        <v>2.8959999999999999</v>
      </c>
      <c r="H189" s="59">
        <v>4.333E-2</v>
      </c>
      <c r="I189" s="59">
        <f>'[1]ÜDM sahələr üzrə'!AC213</f>
        <v>47.35</v>
      </c>
      <c r="J189" s="5">
        <f>'[1]ÜDM sahələr üzrə'!AD213</f>
        <v>43.7</v>
      </c>
      <c r="K189" s="6">
        <f>'[1]ÜDM sahələr üzrə'!AE213</f>
        <v>33.19</v>
      </c>
      <c r="L189" s="5">
        <f>'[1]ÜDM sahələr üzrə'!AF213</f>
        <v>25.100000000000009</v>
      </c>
      <c r="M189" s="5">
        <f>'[1]ÜDM sahələr üzrə'!AG213</f>
        <v>31.55</v>
      </c>
      <c r="N189" s="5">
        <f>'[1]ÜDM sahələr üzrə'!AH213</f>
        <v>46.05</v>
      </c>
      <c r="O189" s="5">
        <f>'[1]ÜDM sahələr üzrə'!AI213</f>
        <v>65.25</v>
      </c>
      <c r="P189" s="59">
        <f>'[1]ÜDM sahələr üzrə'!AJ213</f>
        <v>87.178017133766502</v>
      </c>
      <c r="Q189" s="5">
        <f>'[1]ÜDM sahələr üzrə'!AK213</f>
        <v>134.83551731261682</v>
      </c>
      <c r="R189" s="5">
        <f>'[1]ÜDM sahələr üzrə'!AL213</f>
        <v>189.61383525376064</v>
      </c>
      <c r="S189" s="5">
        <f>'[1]ÜDM sahələr üzrə'!AM213</f>
        <v>248.57223330632752</v>
      </c>
      <c r="T189" s="6">
        <f>'[1]ÜDM sahələr üzrə'!AN213</f>
        <v>305.05903104364927</v>
      </c>
      <c r="U189" s="6">
        <f>'[1]ÜDM sahələr üzrə'!AO213</f>
        <v>236.1676792454995</v>
      </c>
    </row>
    <row r="190" spans="1:21" customFormat="1" ht="14" hidden="1">
      <c r="A190" s="70"/>
      <c r="B190" s="4" t="s">
        <v>73</v>
      </c>
      <c r="C190" s="153" t="s">
        <v>6</v>
      </c>
      <c r="D190" s="59">
        <v>41.304347826086953</v>
      </c>
      <c r="E190" s="5">
        <v>40.54054054054054</v>
      </c>
      <c r="F190" s="5">
        <v>46.129544135306368</v>
      </c>
      <c r="G190" s="5">
        <v>43.223880597014926</v>
      </c>
      <c r="H190" s="59">
        <v>43.33</v>
      </c>
      <c r="I190" s="59">
        <f>'[1]ÜDM sahələr üzrə'!AC214</f>
        <v>2785.294117647059</v>
      </c>
      <c r="J190" s="5">
        <f>'[1]ÜDM sahələr üzrə'!AD214</f>
        <v>44.820512820512825</v>
      </c>
      <c r="K190" s="6">
        <f>'[1]ÜDM sahələr üzrə'!AE214</f>
        <v>44.312416555407204</v>
      </c>
      <c r="L190" s="5">
        <f>'[1]ÜDM sahələr üzrə'!AF214</f>
        <v>28.718535469107557</v>
      </c>
      <c r="M190" s="5">
        <f>'[1]ÜDM sahələr üzrə'!AG214</f>
        <v>24.287913779830639</v>
      </c>
      <c r="N190" s="5">
        <f>'[1]ÜDM sahələr üzrə'!AH214</f>
        <v>23.773877129581827</v>
      </c>
      <c r="O190" s="5">
        <f>'[1]ÜDM sahələr üzrə'!AI214</f>
        <v>23.796498905908098</v>
      </c>
      <c r="P190" s="59">
        <f>'[1]ÜDM sahələr üzrə'!AJ214</f>
        <v>23.796498905908098</v>
      </c>
      <c r="Q190" s="5">
        <f>'[1]ÜDM sahələr üzrə'!AK214</f>
        <v>23.796498905908098</v>
      </c>
      <c r="R190" s="5">
        <f>'[1]ÜDM sahələr üzrə'!AL214</f>
        <v>23.796498905908098</v>
      </c>
      <c r="S190" s="5">
        <f>'[1]ÜDM sahələr üzrə'!AM214</f>
        <v>23.796498905908098</v>
      </c>
      <c r="T190" s="6">
        <f>'[1]ÜDM sahələr üzrə'!AN214</f>
        <v>23.796498905908098</v>
      </c>
      <c r="U190" s="6">
        <f>'[1]ÜDM sahələr üzrə'!AO214</f>
        <v>23.796498905908098</v>
      </c>
    </row>
    <row r="191" spans="1:21" customFormat="1" ht="14" hidden="1">
      <c r="A191" s="70"/>
      <c r="B191" s="4" t="s">
        <v>16</v>
      </c>
      <c r="C191" s="153" t="s">
        <v>6</v>
      </c>
      <c r="D191" s="59">
        <v>3.0999999999999943</v>
      </c>
      <c r="E191" s="5">
        <v>-26.099999999999994</v>
      </c>
      <c r="F191" s="5">
        <v>28.599999999999994</v>
      </c>
      <c r="G191" s="5">
        <v>16.799999999999997</v>
      </c>
      <c r="H191" s="59">
        <v>-98.8</v>
      </c>
      <c r="I191" s="59">
        <f>'[1]ÜDM sahələr üzrə'!AC215</f>
        <v>1566.7</v>
      </c>
      <c r="J191" s="5">
        <f>'[1]ÜDM sahələr üzrə'!AD215</f>
        <v>-13.6</v>
      </c>
      <c r="K191" s="6">
        <f>'[1]ÜDM sahələr üzrə'!AE215</f>
        <v>-24.34</v>
      </c>
      <c r="L191" s="5">
        <f>'[1]ÜDM sahələr üzrə'!AF215</f>
        <v>15.2</v>
      </c>
      <c r="M191" s="5">
        <f>'[1]ÜDM sahələr üzrə'!AG215</f>
        <v>46.74</v>
      </c>
      <c r="N191" s="5">
        <f>'[1]ÜDM sahələr üzrə'!AH215</f>
        <v>51.34</v>
      </c>
      <c r="O191" s="5">
        <f>'[1]ÜDM sahələr üzrə'!AI215</f>
        <v>44.74</v>
      </c>
      <c r="P191" s="59">
        <f>'[1]ÜDM sahələr üzrə'!AJ215</f>
        <v>31.318235605730223</v>
      </c>
      <c r="Q191" s="5">
        <f>'[1]ÜDM sahələr üzrə'!AK215</f>
        <v>50.57431038760393</v>
      </c>
      <c r="R191" s="5">
        <f>'[1]ÜDM sahələr üzrə'!AL215</f>
        <v>33.846303316606281</v>
      </c>
      <c r="S191" s="5">
        <f>'[1]ÜDM sahələr üzrə'!AM215</f>
        <v>22.859755583625542</v>
      </c>
      <c r="T191" s="6">
        <f>'[1]ÜDM sahələr üzrə'!AN215</f>
        <v>14.624872386829168</v>
      </c>
      <c r="U191" s="6">
        <f>'[1]ÜDM sahələr üzrə'!AO215</f>
        <v>-27.785011186337925</v>
      </c>
    </row>
    <row r="192" spans="1:21" customFormat="1" ht="14" hidden="1">
      <c r="A192" s="71"/>
      <c r="B192" s="9" t="s">
        <v>56</v>
      </c>
      <c r="C192" s="154" t="s">
        <v>6</v>
      </c>
      <c r="D192" s="60">
        <v>-9.0564500484965968</v>
      </c>
      <c r="E192" s="10">
        <v>8.3000000000000007</v>
      </c>
      <c r="F192" s="10">
        <v>13.585801891897649</v>
      </c>
      <c r="G192" s="10">
        <v>11.978672475145743</v>
      </c>
      <c r="H192" s="60">
        <v>24.683471454880191</v>
      </c>
      <c r="I192" s="59">
        <f>'[1]ÜDM sahələr üzrə'!AC216</f>
        <v>6356.6890480372213</v>
      </c>
      <c r="J192" s="10">
        <f>'[1]ÜDM sahələr üzrə'!AD216</f>
        <v>6.8188040204935731</v>
      </c>
      <c r="K192" s="11">
        <f>'[1]ÜDM sahələr üzrə'!AE216</f>
        <v>0.38284000868632972</v>
      </c>
      <c r="L192" s="10">
        <f>'[1]ÜDM sahələr üzrə'!AF216</f>
        <v>-34.353135147802178</v>
      </c>
      <c r="M192" s="10">
        <f>'[1]ÜDM sahələr üzrə'!AG216</f>
        <v>-14.340185937455061</v>
      </c>
      <c r="N192" s="10">
        <f>'[1]ÜDM sahələr üzrə'!AH216</f>
        <v>-3.5557053240392378</v>
      </c>
      <c r="O192" s="10">
        <f>'[1]ÜDM sahələr üzrə'!AI216</f>
        <v>-2.1045937025572954</v>
      </c>
      <c r="P192" s="60">
        <f>'[1]ÜDM sahələr üzrə'!AJ216</f>
        <v>1.7422720542668912</v>
      </c>
      <c r="Q192" s="10">
        <f>'[1]ÜDM sahələr üzrə'!AK216</f>
        <v>2.7179719422707933</v>
      </c>
      <c r="R192" s="10">
        <f>'[1]ÜDM sahələr üzrə'!AL216</f>
        <v>5.0653075085369039</v>
      </c>
      <c r="S192" s="10">
        <f>'[1]ÜDM sahələr üzrə'!AM216</f>
        <v>6.7020945420822642</v>
      </c>
      <c r="T192" s="11">
        <f>'[1]ÜDM sahələr üzrə'!AN216</f>
        <v>7.0662044612957544</v>
      </c>
      <c r="U192" s="11">
        <f>'[1]ÜDM sahələr üzrə'!AO216</f>
        <v>7.2035648256658931</v>
      </c>
    </row>
    <row r="193" spans="1:21" customFormat="1" ht="14" hidden="1">
      <c r="A193" s="69" t="s">
        <v>36</v>
      </c>
      <c r="B193" s="26" t="s">
        <v>119</v>
      </c>
      <c r="C193" s="164"/>
      <c r="D193" s="40"/>
      <c r="E193" s="18"/>
      <c r="F193" s="18"/>
      <c r="G193" s="18"/>
      <c r="H193" s="40"/>
      <c r="I193" s="94"/>
      <c r="J193" s="18"/>
      <c r="K193" s="19"/>
      <c r="L193" s="18"/>
      <c r="M193" s="18"/>
      <c r="N193" s="18"/>
      <c r="O193" s="18"/>
      <c r="P193" s="40"/>
      <c r="Q193" s="18"/>
      <c r="R193" s="18"/>
      <c r="S193" s="18"/>
      <c r="T193" s="19"/>
      <c r="U193" s="19"/>
    </row>
    <row r="194" spans="1:21" customFormat="1" ht="14" hidden="1">
      <c r="A194" s="70" t="s">
        <v>67</v>
      </c>
      <c r="B194" s="4" t="s">
        <v>68</v>
      </c>
      <c r="C194" s="153" t="s">
        <v>12</v>
      </c>
      <c r="D194" s="59">
        <v>12.5</v>
      </c>
      <c r="E194" s="5">
        <v>13.4</v>
      </c>
      <c r="F194" s="5">
        <v>11.18</v>
      </c>
      <c r="G194" s="5">
        <v>11.3</v>
      </c>
      <c r="H194" s="59">
        <v>14.4</v>
      </c>
      <c r="I194" s="59">
        <f>'[1]ÜDM sahələr üzrə'!AC218</f>
        <v>6.8</v>
      </c>
      <c r="J194" s="5">
        <f>'[1]ÜDM sahələr üzrə'!AD218</f>
        <v>7.3</v>
      </c>
      <c r="K194" s="6">
        <f>'[1]ÜDM sahələr üzrə'!AE218</f>
        <v>6</v>
      </c>
      <c r="L194" s="5">
        <f>'[1]ÜDM sahələr üzrə'!AF218</f>
        <v>4.7</v>
      </c>
      <c r="M194" s="5">
        <f>'[1]ÜDM sahələr üzrə'!AG218</f>
        <v>12.2</v>
      </c>
      <c r="N194" s="5">
        <f>'[1]ÜDM sahələr üzrə'!AH218</f>
        <v>8.6999999999999993</v>
      </c>
      <c r="O194" s="5">
        <f>'[1]ÜDM sahələr üzrə'!AI218</f>
        <v>17.7</v>
      </c>
      <c r="P194" s="59">
        <f>'[1]ÜDM sahələr üzrə'!AJ218</f>
        <v>21.450350824725728</v>
      </c>
      <c r="Q194" s="5">
        <f>'[1]ÜDM sahələr üzrə'!AK218</f>
        <v>25.284721944081284</v>
      </c>
      <c r="R194" s="5">
        <f>'[1]ÜDM sahələr üzrə'!AL218</f>
        <v>28.836021703583608</v>
      </c>
      <c r="S194" s="5">
        <f>'[1]ÜDM sahələr üzrə'!AM218</f>
        <v>32.324433289534561</v>
      </c>
      <c r="T194" s="6">
        <f>'[1]ÜDM sahələr üzrə'!AN218</f>
        <v>36.967165943475173</v>
      </c>
      <c r="U194" s="6">
        <f>'[1]ÜDM sahələr üzrə'!AO218</f>
        <v>42.644164636300133</v>
      </c>
    </row>
    <row r="195" spans="1:21" customFormat="1" ht="14" hidden="1">
      <c r="A195" s="70" t="s">
        <v>69</v>
      </c>
      <c r="B195" s="4" t="s">
        <v>70</v>
      </c>
      <c r="C195" s="153" t="s">
        <v>12</v>
      </c>
      <c r="D195" s="59">
        <v>4.3000000000000007</v>
      </c>
      <c r="E195" s="5">
        <v>4.5950000000000006</v>
      </c>
      <c r="F195" s="5">
        <v>3.8</v>
      </c>
      <c r="G195" s="5">
        <v>3.862000000000001</v>
      </c>
      <c r="H195" s="59">
        <v>4.92</v>
      </c>
      <c r="I195" s="59">
        <f>'[1]ÜDM sahələr üzrə'!AC219</f>
        <v>2.3220000000000001</v>
      </c>
      <c r="J195" s="5">
        <f>'[1]ÜDM sahələr üzrə'!AD219</f>
        <v>2.3949999999999996</v>
      </c>
      <c r="K195" s="6">
        <f>'[1]ÜDM sahələr üzrə'!AE219</f>
        <v>2.0150000000000001</v>
      </c>
      <c r="L195" s="5">
        <f>'[1]ÜDM sahələr üzrə'!AF219</f>
        <v>1.8570000000000002</v>
      </c>
      <c r="M195" s="5">
        <f>'[1]ÜDM sahələr üzrə'!AG219</f>
        <v>5.0149999999999997</v>
      </c>
      <c r="N195" s="5">
        <f>'[1]ÜDM sahələr üzrə'!AH219</f>
        <v>3.8019999999999996</v>
      </c>
      <c r="O195" s="5">
        <f>'[1]ÜDM sahələr üzrə'!AI219</f>
        <v>7.7500999999999998</v>
      </c>
      <c r="P195" s="59">
        <f>'[1]ÜDM sahələr üzrə'!AJ219</f>
        <v>9.3922239506614069</v>
      </c>
      <c r="Q195" s="5">
        <f>'[1]ÜDM sahələr üzrə'!AK219</f>
        <v>11.071136923097423</v>
      </c>
      <c r="R195" s="5">
        <f>'[1]ÜDM sahələr üzrə'!AL219</f>
        <v>12.626104621748212</v>
      </c>
      <c r="S195" s="5">
        <f>'[1]ÜDM sahələr üzrə'!AM219</f>
        <v>14.153536182893891</v>
      </c>
      <c r="T195" s="6">
        <f>'[1]ÜDM sahələr üzrə'!AN219</f>
        <v>16.186397332120169</v>
      </c>
      <c r="U195" s="6">
        <f>'[1]ÜDM sahələr üzrə'!AO219</f>
        <v>18.672120923603938</v>
      </c>
    </row>
    <row r="196" spans="1:21" customFormat="1" ht="14" hidden="1">
      <c r="A196" s="70" t="s">
        <v>71</v>
      </c>
      <c r="B196" s="4" t="s">
        <v>72</v>
      </c>
      <c r="C196" s="153" t="s">
        <v>12</v>
      </c>
      <c r="D196" s="59">
        <v>8.1999999999999993</v>
      </c>
      <c r="E196" s="5">
        <v>8.8049999999999997</v>
      </c>
      <c r="F196" s="5">
        <v>7.38</v>
      </c>
      <c r="G196" s="5">
        <v>7.4379999999999997</v>
      </c>
      <c r="H196" s="59">
        <v>9.48</v>
      </c>
      <c r="I196" s="59">
        <f>'[1]ÜDM sahələr üzrə'!AC220</f>
        <v>4.4779999999999998</v>
      </c>
      <c r="J196" s="5">
        <f>'[1]ÜDM sahələr üzrə'!AD220</f>
        <v>4.9050000000000002</v>
      </c>
      <c r="K196" s="6">
        <f>'[1]ÜDM sahələr üzrə'!AE220</f>
        <v>3.9849999999999999</v>
      </c>
      <c r="L196" s="5">
        <f>'[1]ÜDM sahələr üzrə'!AF220</f>
        <v>2.843</v>
      </c>
      <c r="M196" s="5">
        <f>'[1]ÜDM sahələr üzrə'!AG220</f>
        <v>7.1849999999999996</v>
      </c>
      <c r="N196" s="5">
        <f>'[1]ÜDM sahələr üzrə'!AH220</f>
        <v>4.8979999999999997</v>
      </c>
      <c r="O196" s="5">
        <f>'[1]ÜDM sahələr üzrə'!AI220</f>
        <v>9.9498999999999995</v>
      </c>
      <c r="P196" s="59">
        <f>'[1]ÜDM sahələr üzrə'!AJ220</f>
        <v>12.058126874064321</v>
      </c>
      <c r="Q196" s="5">
        <f>'[1]ÜDM sahələr üzrə'!AK220</f>
        <v>14.21358502098386</v>
      </c>
      <c r="R196" s="5">
        <f>'[1]ÜDM sahələr üzrə'!AL220</f>
        <v>16.209917081835396</v>
      </c>
      <c r="S196" s="5">
        <f>'[1]ÜDM sahələr üzrə'!AM220</f>
        <v>18.17089710664067</v>
      </c>
      <c r="T196" s="6">
        <f>'[1]ÜDM sahələr üzrə'!AN220</f>
        <v>20.780768611355004</v>
      </c>
      <c r="U196" s="6">
        <f>'[1]ÜDM sahələr üzrə'!AO220</f>
        <v>23.972043712696195</v>
      </c>
    </row>
    <row r="197" spans="1:21" customFormat="1" ht="14" hidden="1">
      <c r="A197" s="70"/>
      <c r="B197" s="4" t="s">
        <v>73</v>
      </c>
      <c r="C197" s="153" t="s">
        <v>6</v>
      </c>
      <c r="D197" s="59">
        <v>65.599999999999994</v>
      </c>
      <c r="E197" s="5">
        <v>65.708955223880594</v>
      </c>
      <c r="F197" s="5">
        <v>66.010733452593911</v>
      </c>
      <c r="G197" s="5">
        <v>65.823008849557525</v>
      </c>
      <c r="H197" s="59">
        <v>65.833333333333329</v>
      </c>
      <c r="I197" s="59">
        <f>'[1]ÜDM sahələr üzrə'!AC221</f>
        <v>65.852941176470594</v>
      </c>
      <c r="J197" s="5">
        <f>'[1]ÜDM sahələr üzrə'!AD221</f>
        <v>67.191780821917817</v>
      </c>
      <c r="K197" s="6">
        <f>'[1]ÜDM sahələr üzrə'!AE221</f>
        <v>66.416666666666671</v>
      </c>
      <c r="L197" s="5">
        <f>'[1]ÜDM sahələr üzrə'!AF221</f>
        <v>60.489361702127653</v>
      </c>
      <c r="M197" s="5">
        <f>'[1]ÜDM sahələr üzrə'!AG221</f>
        <v>58.893442622950822</v>
      </c>
      <c r="N197" s="5">
        <f>'[1]ÜDM sahələr üzrə'!AH221</f>
        <v>56.298850574712645</v>
      </c>
      <c r="O197" s="5">
        <f>'[1]ÜDM sahələr üzrə'!AI221</f>
        <v>56.214124293785304</v>
      </c>
      <c r="P197" s="59">
        <f>'[1]ÜDM sahələr üzrə'!AJ221</f>
        <v>56.214124293785304</v>
      </c>
      <c r="Q197" s="5">
        <f>'[1]ÜDM sahələr üzrə'!AK221</f>
        <v>56.214124293785304</v>
      </c>
      <c r="R197" s="5">
        <f>'[1]ÜDM sahələr üzrə'!AL221</f>
        <v>56.214124293785304</v>
      </c>
      <c r="S197" s="5">
        <f>'[1]ÜDM sahələr üzrə'!AM221</f>
        <v>56.214124293785304</v>
      </c>
      <c r="T197" s="6">
        <f>'[1]ÜDM sahələr üzrə'!AN221</f>
        <v>56.214124293785304</v>
      </c>
      <c r="U197" s="6">
        <f>'[1]ÜDM sahələr üzrə'!AO221</f>
        <v>56.214124293785304</v>
      </c>
    </row>
    <row r="198" spans="1:21" customFormat="1" ht="14" hidden="1">
      <c r="A198" s="70"/>
      <c r="B198" s="4" t="s">
        <v>16</v>
      </c>
      <c r="C198" s="153" t="s">
        <v>6</v>
      </c>
      <c r="D198" s="59">
        <v>0.59999999999999432</v>
      </c>
      <c r="E198" s="5">
        <v>7.4000000000000057</v>
      </c>
      <c r="F198" s="5">
        <v>-16.400000000000006</v>
      </c>
      <c r="G198" s="5">
        <v>3.2490000000000001</v>
      </c>
      <c r="H198" s="59">
        <v>27.4</v>
      </c>
      <c r="I198" s="59">
        <f>'[1]ÜDM sahələr üzrə'!AC222</f>
        <v>-52.8</v>
      </c>
      <c r="J198" s="5">
        <f>'[1]ÜDM sahələr üzrə'!AD222</f>
        <v>-15</v>
      </c>
      <c r="K198" s="6">
        <f>'[1]ÜDM sahələr üzrə'!AE222</f>
        <v>-19.399999999999999</v>
      </c>
      <c r="L198" s="5">
        <f>'[1]ÜDM sahələr üzrə'!AF222</f>
        <v>-25</v>
      </c>
      <c r="M198" s="5">
        <f>'[1]ÜDM sahələr üzrə'!AG222</f>
        <v>159.6</v>
      </c>
      <c r="N198" s="5">
        <f>'[1]ÜDM sahələr üzrə'!AH222</f>
        <v>-28.748999999999999</v>
      </c>
      <c r="O198" s="5">
        <f>'[1]ÜDM sahələr üzrə'!AI222</f>
        <v>103.55</v>
      </c>
      <c r="P198" s="59">
        <f>'[1]ÜDM sahələr üzrə'!AJ222</f>
        <v>18.894161016099957</v>
      </c>
      <c r="Q198" s="5">
        <f>'[1]ÜDM sahələr üzrə'!AK222</f>
        <v>14.397329256954734</v>
      </c>
      <c r="R198" s="5">
        <f>'[1]ÜDM sahələr üzrə'!AL222</f>
        <v>13.098190669420688</v>
      </c>
      <c r="S198" s="5">
        <f>'[1]ÜDM sahələr üzrə'!AM222</f>
        <v>11.798978200319794</v>
      </c>
      <c r="T198" s="6">
        <f>'[1]ÜDM sahələr üzrə'!AN222</f>
        <v>13.797877578165441</v>
      </c>
      <c r="U198" s="6">
        <f>'[1]ÜDM sahələr üzrə'!AO222</f>
        <v>14.516670766653846</v>
      </c>
    </row>
    <row r="199" spans="1:21" customFormat="1" ht="14" hidden="1">
      <c r="A199" s="71"/>
      <c r="B199" s="9" t="s">
        <v>56</v>
      </c>
      <c r="C199" s="154" t="s">
        <v>6</v>
      </c>
      <c r="D199" s="60">
        <v>8.9718374246499479</v>
      </c>
      <c r="E199" s="10">
        <v>-2.0438751873570027E-2</v>
      </c>
      <c r="F199" s="10">
        <v>4.8389507918792568E-2</v>
      </c>
      <c r="G199" s="10">
        <v>-2.5855845005001443</v>
      </c>
      <c r="H199" s="60">
        <v>4.2085214750684941E-2</v>
      </c>
      <c r="I199" s="59">
        <f>'[1]ÜDM sahələr üzrə'!AC223</f>
        <v>-2.8576021146250241E-2</v>
      </c>
      <c r="J199" s="10">
        <f>'[1]ÜDM sahələr üzrə'!AD223</f>
        <v>28.865302262039279</v>
      </c>
      <c r="K199" s="11">
        <f>'[1]ÜDM sahələr üzrə'!AE223</f>
        <v>0.79854708443045297</v>
      </c>
      <c r="L199" s="10">
        <f>'[1]ÜDM sahələr üzrə'!AF223</f>
        <v>-4.8766206608113691</v>
      </c>
      <c r="M199" s="10">
        <f>'[1]ÜDM sahələr üzrə'!AG223</f>
        <v>-2.6479223156163982</v>
      </c>
      <c r="N199" s="10">
        <f>'[1]ÜDM sahələr üzrə'!AH223</f>
        <v>-4.3244330736761327</v>
      </c>
      <c r="O199" s="10">
        <f>'[1]ÜDM sahələr üzrə'!AI223</f>
        <v>-0.20039360557935026</v>
      </c>
      <c r="P199" s="60">
        <f>'[1]ÜDM sahələr üzrə'!AJ223</f>
        <v>1.9296672795838816</v>
      </c>
      <c r="Q199" s="10">
        <f>'[1]ÜDM sahələr üzrə'!AK223</f>
        <v>3.0404856798422344</v>
      </c>
      <c r="R199" s="10">
        <f>'[1]ÜDM sahələr üzrə'!AL223</f>
        <v>0.8373687031703696</v>
      </c>
      <c r="S199" s="10">
        <f>'[1]ÜDM sahələr üzrə'!AM223</f>
        <v>0.26693549013141649</v>
      </c>
      <c r="T199" s="11">
        <f>'[1]ÜDM sahələr üzrə'!AN223</f>
        <v>0.49653203485510744</v>
      </c>
      <c r="U199" s="11">
        <f>'[1]ÜDM sahələr üzrə'!AO223</f>
        <v>0.73368945215590031</v>
      </c>
    </row>
    <row r="200" spans="1:21" customFormat="1" ht="14" hidden="1">
      <c r="A200" s="69" t="s">
        <v>35</v>
      </c>
      <c r="B200" s="26" t="s">
        <v>120</v>
      </c>
      <c r="C200" s="164"/>
      <c r="D200" s="40"/>
      <c r="E200" s="18"/>
      <c r="F200" s="18"/>
      <c r="G200" s="18"/>
      <c r="H200" s="40"/>
      <c r="I200" s="94"/>
      <c r="J200" s="18"/>
      <c r="K200" s="19"/>
      <c r="L200" s="18"/>
      <c r="M200" s="18"/>
      <c r="N200" s="18"/>
      <c r="O200" s="18"/>
      <c r="P200" s="40"/>
      <c r="Q200" s="18"/>
      <c r="R200" s="18"/>
      <c r="S200" s="18"/>
      <c r="T200" s="19"/>
      <c r="U200" s="19"/>
    </row>
    <row r="201" spans="1:21" customFormat="1" ht="14" hidden="1">
      <c r="A201" s="70" t="s">
        <v>67</v>
      </c>
      <c r="B201" s="4" t="s">
        <v>68</v>
      </c>
      <c r="C201" s="153" t="s">
        <v>12</v>
      </c>
      <c r="D201" s="59">
        <v>43.9</v>
      </c>
      <c r="E201" s="5">
        <v>42.7</v>
      </c>
      <c r="F201" s="5">
        <v>45.3</v>
      </c>
      <c r="G201" s="5">
        <v>58.3</v>
      </c>
      <c r="H201" s="59">
        <v>66.5</v>
      </c>
      <c r="I201" s="59">
        <f>'[1]ÜDM sahələr üzrə'!AC225</f>
        <v>111.7</v>
      </c>
      <c r="J201" s="5">
        <f>'[1]ÜDM sahələr üzrə'!AD225</f>
        <v>120.7</v>
      </c>
      <c r="K201" s="6">
        <f>'[1]ÜDM sahələr üzrə'!AE225</f>
        <v>119</v>
      </c>
      <c r="L201" s="5">
        <f>'[1]ÜDM sahələr üzrə'!AF225</f>
        <v>176.3</v>
      </c>
      <c r="M201" s="5">
        <f>'[1]ÜDM sahələr üzrə'!AG225</f>
        <v>224.4</v>
      </c>
      <c r="N201" s="5">
        <f>'[1]ÜDM sahələr üzrə'!AH225</f>
        <v>304.89999999999998</v>
      </c>
      <c r="O201" s="5">
        <f>'[1]ÜDM sahələr üzrə'!AI225</f>
        <v>391.2</v>
      </c>
      <c r="P201" s="59">
        <f>'[1]ÜDM sahələr üzrə'!AJ225</f>
        <v>407.99032615739713</v>
      </c>
      <c r="Q201" s="5">
        <f>'[1]ÜDM sahələr üzrə'!AK225</f>
        <v>432.10453735613152</v>
      </c>
      <c r="R201" s="5">
        <f>'[1]ÜDM sahələr üzrə'!AL225</f>
        <v>470.55882147242806</v>
      </c>
      <c r="S201" s="5">
        <f>'[1]ÜDM sahələr üzrə'!AM225</f>
        <v>516.19095318518998</v>
      </c>
      <c r="T201" s="6">
        <f>'[1]ÜDM sahələr üzrə'!AN225</f>
        <v>560.81288909188709</v>
      </c>
      <c r="U201" s="6">
        <f>'[1]ÜDM sahələr üzrə'!AO225</f>
        <v>608.70890259524697</v>
      </c>
    </row>
    <row r="202" spans="1:21" customFormat="1" ht="14" hidden="1">
      <c r="A202" s="70" t="s">
        <v>69</v>
      </c>
      <c r="B202" s="4" t="s">
        <v>70</v>
      </c>
      <c r="C202" s="153" t="s">
        <v>12</v>
      </c>
      <c r="D202" s="59">
        <v>31.4</v>
      </c>
      <c r="E202" s="5">
        <v>30.700000000000003</v>
      </c>
      <c r="F202" s="5">
        <v>32.429095321384523</v>
      </c>
      <c r="G202" s="5">
        <v>41.929999999999993</v>
      </c>
      <c r="H202" s="59">
        <v>47.540999999999997</v>
      </c>
      <c r="I202" s="59">
        <f>'[1]ÜDM sahələr üzrə'!AC226</f>
        <v>79.91</v>
      </c>
      <c r="J202" s="5">
        <f>'[1]ÜDM sahələr üzrə'!AD226</f>
        <v>85.240000000000009</v>
      </c>
      <c r="K202" s="6">
        <f>'[1]ÜDM sahələr üzrə'!AE226</f>
        <v>84.61</v>
      </c>
      <c r="L202" s="5">
        <f>'[1]ÜDM sahələr üzrə'!AF226</f>
        <v>134.69999999999999</v>
      </c>
      <c r="M202" s="5">
        <f>'[1]ÜDM sahələr üzrə'!AG226</f>
        <v>154.60000000000002</v>
      </c>
      <c r="N202" s="5">
        <f>'[1]ÜDM sahələr üzrə'!AH226</f>
        <v>213.05999999999997</v>
      </c>
      <c r="O202" s="5">
        <f>'[1]ÜDM sahələr üzrə'!AI226</f>
        <v>273.39999999999998</v>
      </c>
      <c r="P202" s="59">
        <f>'[1]ÜDM sahələr üzrə'!AJ226</f>
        <v>285.13434348525664</v>
      </c>
      <c r="Q202" s="5">
        <f>'[1]ÜDM sahələr üzrə'!AK226</f>
        <v>301.98716900093655</v>
      </c>
      <c r="R202" s="5">
        <f>'[1]ÜDM sahələr üzrə'!AL226</f>
        <v>328.86191664254045</v>
      </c>
      <c r="S202" s="5">
        <f>'[1]ÜDM sahələr üzrə'!AM226</f>
        <v>360.75308435795228</v>
      </c>
      <c r="T202" s="6">
        <f>'[1]ÜDM sahələr üzrə'!AN226</f>
        <v>391.93825122117062</v>
      </c>
      <c r="U202" s="6">
        <f>'[1]ÜDM sahələr üzrə'!AO226</f>
        <v>425.41158990168844</v>
      </c>
    </row>
    <row r="203" spans="1:21" customFormat="1" ht="14" hidden="1">
      <c r="A203" s="70" t="s">
        <v>71</v>
      </c>
      <c r="B203" s="4" t="s">
        <v>72</v>
      </c>
      <c r="C203" s="153" t="s">
        <v>12</v>
      </c>
      <c r="D203" s="59">
        <v>12.5</v>
      </c>
      <c r="E203" s="5">
        <v>12</v>
      </c>
      <c r="F203" s="5">
        <v>12.870904678615471</v>
      </c>
      <c r="G203" s="5">
        <v>16.37</v>
      </c>
      <c r="H203" s="59">
        <v>18.959</v>
      </c>
      <c r="I203" s="59">
        <f>'[1]ÜDM sahələr üzrə'!AC227</f>
        <v>31.79</v>
      </c>
      <c r="J203" s="5">
        <f>'[1]ÜDM sahələr üzrə'!AD227</f>
        <v>35.46</v>
      </c>
      <c r="K203" s="6">
        <f>'[1]ÜDM sahələr üzrə'!AE227</f>
        <v>34.39</v>
      </c>
      <c r="L203" s="5">
        <f>'[1]ÜDM sahələr üzrə'!AF227</f>
        <v>41.600000000000023</v>
      </c>
      <c r="M203" s="5">
        <f>'[1]ÜDM sahələr üzrə'!AG227</f>
        <v>69.8</v>
      </c>
      <c r="N203" s="5">
        <f>'[1]ÜDM sahələr üzrə'!AH227</f>
        <v>91.84</v>
      </c>
      <c r="O203" s="5">
        <f>'[1]ÜDM sahələr üzrə'!AI227</f>
        <v>117.8</v>
      </c>
      <c r="P203" s="59">
        <f>'[1]ÜDM sahələr üzrə'!AJ227</f>
        <v>122.85598267214053</v>
      </c>
      <c r="Q203" s="5">
        <f>'[1]ÜDM sahələr üzrə'!AK227</f>
        <v>130.117368355195</v>
      </c>
      <c r="R203" s="5">
        <f>'[1]ÜDM sahələr üzrə'!AL227</f>
        <v>141.69690482988759</v>
      </c>
      <c r="S203" s="5">
        <f>'[1]ÜDM sahələr üzrə'!AM227</f>
        <v>155.43786882723768</v>
      </c>
      <c r="T203" s="6">
        <f>'[1]ÜDM sahələr üzrə'!AN227</f>
        <v>168.8746378707165</v>
      </c>
      <c r="U203" s="6">
        <f>'[1]ÜDM sahələr üzrə'!AO227</f>
        <v>183.29731269355852</v>
      </c>
    </row>
    <row r="204" spans="1:21" customFormat="1" ht="14" hidden="1">
      <c r="A204" s="70"/>
      <c r="B204" s="4" t="s">
        <v>73</v>
      </c>
      <c r="C204" s="153" t="s">
        <v>6</v>
      </c>
      <c r="D204" s="59">
        <v>28.473804100227788</v>
      </c>
      <c r="E204" s="5">
        <v>28.103044496487119</v>
      </c>
      <c r="F204" s="5">
        <v>28.41259310952643</v>
      </c>
      <c r="G204" s="5">
        <v>28.078902229845632</v>
      </c>
      <c r="H204" s="59">
        <v>28.509774436090225</v>
      </c>
      <c r="I204" s="59">
        <f>'[1]ÜDM sahələr üzrə'!AC228</f>
        <v>28.460161145926588</v>
      </c>
      <c r="J204" s="5">
        <f>'[1]ÜDM sahələr üzrə'!AD228</f>
        <v>29.378624689312343</v>
      </c>
      <c r="K204" s="6">
        <f>'[1]ÜDM sahələr üzrə'!AE228</f>
        <v>28.899159663865547</v>
      </c>
      <c r="L204" s="5">
        <f>'[1]ÜDM sahələr üzrə'!AF228</f>
        <v>23.596142938173578</v>
      </c>
      <c r="M204" s="5">
        <f>'[1]ÜDM sahələr üzrə'!AG228</f>
        <v>31.105169340463455</v>
      </c>
      <c r="N204" s="5">
        <f>'[1]ÜDM sahələr üzrə'!AH228</f>
        <v>30.121351262709091</v>
      </c>
      <c r="O204" s="5">
        <f>'[1]ÜDM sahələr üzrə'!AI228</f>
        <v>30.11247443762781</v>
      </c>
      <c r="P204" s="59">
        <f>'[1]ÜDM sahələr üzrə'!AJ228</f>
        <v>30.11247443762781</v>
      </c>
      <c r="Q204" s="5">
        <f>'[1]ÜDM sahələr üzrə'!AK228</f>
        <v>30.11247443762781</v>
      </c>
      <c r="R204" s="5">
        <f>'[1]ÜDM sahələr üzrə'!AL228</f>
        <v>30.11247443762781</v>
      </c>
      <c r="S204" s="5">
        <f>'[1]ÜDM sahələr üzrə'!AM228</f>
        <v>30.11247443762781</v>
      </c>
      <c r="T204" s="6">
        <f>'[1]ÜDM sahələr üzrə'!AN228</f>
        <v>30.11247443762781</v>
      </c>
      <c r="U204" s="6">
        <f>'[1]ÜDM sahələr üzrə'!AO228</f>
        <v>30.11247443762781</v>
      </c>
    </row>
    <row r="205" spans="1:21" customFormat="1" ht="14" hidden="1">
      <c r="A205" s="70"/>
      <c r="B205" s="4" t="s">
        <v>16</v>
      </c>
      <c r="C205" s="153" t="s">
        <v>6</v>
      </c>
      <c r="D205" s="59">
        <v>9.0999999999999943</v>
      </c>
      <c r="E205" s="5">
        <v>-2.7000000000000028</v>
      </c>
      <c r="F205" s="5">
        <v>6</v>
      </c>
      <c r="G205" s="5">
        <v>27.799999999999997</v>
      </c>
      <c r="H205" s="59">
        <v>12.45</v>
      </c>
      <c r="I205" s="59">
        <f>'[1]ÜDM sahələr üzrə'!AC229</f>
        <v>49.75</v>
      </c>
      <c r="J205" s="5">
        <f>'[1]ÜDM sahələr üzrə'!AD229</f>
        <v>29.45</v>
      </c>
      <c r="K205" s="6">
        <f>'[1]ÜDM sahələr üzrə'!AE229</f>
        <v>-0.2</v>
      </c>
      <c r="L205" s="5">
        <f>'[1]ÜDM sahələr üzrə'!AF229</f>
        <v>39.799999999999997</v>
      </c>
      <c r="M205" s="5">
        <f>'[1]ÜDM sahələr üzrə'!AG229</f>
        <v>10.1</v>
      </c>
      <c r="N205" s="5">
        <f>'[1]ÜDM sahələr üzrə'!AH229</f>
        <v>22.1</v>
      </c>
      <c r="O205" s="5">
        <f>'[1]ÜDM sahələr üzrə'!AI229</f>
        <v>45.9</v>
      </c>
      <c r="P205" s="59">
        <f>'[1]ÜDM sahələr üzrə'!AJ229</f>
        <v>2.5060710343970385</v>
      </c>
      <c r="Q205" s="5">
        <f>'[1]ÜDM sahələr üzrə'!AK229</f>
        <v>3.1080384662825082</v>
      </c>
      <c r="R205" s="5">
        <f>'[1]ÜDM sahələr üzrə'!AL229</f>
        <v>3.649152841137024</v>
      </c>
      <c r="S205" s="5">
        <f>'[1]ÜDM sahələr üzrə'!AM229</f>
        <v>2.8071984826120229</v>
      </c>
      <c r="T205" s="6">
        <f>'[1]ÜDM sahələr üzrə'!AN229</f>
        <v>1.4740958987149924</v>
      </c>
      <c r="U205" s="6">
        <f>'[1]ÜDM sahələr üzrə'!AO229</f>
        <v>1.2470644058561788</v>
      </c>
    </row>
    <row r="206" spans="1:21" customFormat="1" ht="14" hidden="1">
      <c r="A206" s="71"/>
      <c r="B206" s="9" t="s">
        <v>56</v>
      </c>
      <c r="C206" s="154" t="s">
        <v>6</v>
      </c>
      <c r="D206" s="60">
        <v>19.347693247784918</v>
      </c>
      <c r="E206" s="10">
        <v>-1.3360739979444958</v>
      </c>
      <c r="F206" s="10">
        <v>1.1863575362851577</v>
      </c>
      <c r="G206" s="10">
        <v>-0.48037024469675771</v>
      </c>
      <c r="H206" s="60">
        <v>2.9929001228537544</v>
      </c>
      <c r="I206" s="59">
        <f>'[1]ÜDM sahələr üzrə'!AC230</f>
        <v>12.024878755709807</v>
      </c>
      <c r="J206" s="10">
        <f>'[1]ÜDM sahələr üzrə'!AD230</f>
        <v>-13.8319730765011</v>
      </c>
      <c r="K206" s="11">
        <f>'[1]ÜDM sahələr üzrə'!AE230</f>
        <v>-2.8231307510678505</v>
      </c>
      <c r="L206" s="10">
        <f>'[1]ÜDM sahələr üzrə'!AF230</f>
        <v>-13.472534393627541</v>
      </c>
      <c r="M206" s="10">
        <f>'[1]ÜDM sahələr üzrə'!AG230</f>
        <v>52.396422832390044</v>
      </c>
      <c r="N206" s="10">
        <f>'[1]ÜDM sahələr üzrə'!AH230</f>
        <v>7.7607954398785353</v>
      </c>
      <c r="O206" s="10">
        <f>'[1]ÜDM sahələr üzrə'!AI230</f>
        <v>-12.085983192153478</v>
      </c>
      <c r="P206" s="60">
        <f>'[1]ÜDM sahələr üzrə'!AJ230</f>
        <v>1.7422720542668912</v>
      </c>
      <c r="Q206" s="10">
        <f>'[1]ÜDM sahələr üzrə'!AK230</f>
        <v>2.7179719422707933</v>
      </c>
      <c r="R206" s="10">
        <f>'[1]ÜDM sahələr üzrə'!AL230</f>
        <v>5.0653075085369039</v>
      </c>
      <c r="S206" s="10">
        <f>'[1]ÜDM sahələr üzrə'!AM230</f>
        <v>6.7020945420822642</v>
      </c>
      <c r="T206" s="11">
        <f>'[1]ÜDM sahələr üzrə'!AN230</f>
        <v>7.0662044612957544</v>
      </c>
      <c r="U206" s="11">
        <f>'[1]ÜDM sahələr üzrə'!AO230</f>
        <v>7.2035648256658931</v>
      </c>
    </row>
    <row r="207" spans="1:21" customFormat="1" ht="28" hidden="1">
      <c r="A207" s="69" t="s">
        <v>34</v>
      </c>
      <c r="B207" s="26" t="s">
        <v>48</v>
      </c>
      <c r="C207" s="164"/>
      <c r="D207" s="40"/>
      <c r="E207" s="18"/>
      <c r="F207" s="18"/>
      <c r="G207" s="18"/>
      <c r="H207" s="40"/>
      <c r="I207" s="94"/>
      <c r="J207" s="18"/>
      <c r="K207" s="19"/>
      <c r="L207" s="18"/>
      <c r="M207" s="18"/>
      <c r="N207" s="18"/>
      <c r="O207" s="18"/>
      <c r="P207" s="40"/>
      <c r="Q207" s="18"/>
      <c r="R207" s="18"/>
      <c r="S207" s="18"/>
      <c r="T207" s="19"/>
      <c r="U207" s="19"/>
    </row>
    <row r="208" spans="1:21" customFormat="1" ht="14" hidden="1">
      <c r="A208" s="70" t="s">
        <v>67</v>
      </c>
      <c r="B208" s="4" t="s">
        <v>68</v>
      </c>
      <c r="C208" s="153" t="s">
        <v>12</v>
      </c>
      <c r="D208" s="59">
        <v>9.5</v>
      </c>
      <c r="E208" s="5">
        <v>6.2</v>
      </c>
      <c r="F208" s="5">
        <v>9</v>
      </c>
      <c r="G208" s="5">
        <v>40.739361173655531</v>
      </c>
      <c r="H208" s="59">
        <v>50.5</v>
      </c>
      <c r="I208" s="59">
        <f>'[1]ÜDM sahələr üzrə'!AC232</f>
        <v>60.6</v>
      </c>
      <c r="J208" s="5">
        <f>'[1]ÜDM sahələr üzrə'!AD232</f>
        <v>78.2</v>
      </c>
      <c r="K208" s="6">
        <f>'[1]ÜDM sahələr üzrə'!AE232</f>
        <v>76.3</v>
      </c>
      <c r="L208" s="5">
        <f>'[1]ÜDM sahələr üzrə'!AF232</f>
        <v>80</v>
      </c>
      <c r="M208" s="5">
        <f>'[1]ÜDM sahələr üzrə'!AG232</f>
        <v>98.5</v>
      </c>
      <c r="N208" s="5">
        <f>'[1]ÜDM sahələr üzrə'!AH232</f>
        <v>90.4</v>
      </c>
      <c r="O208" s="5">
        <f>'[1]ÜDM sahələr üzrə'!AI232</f>
        <v>91.9</v>
      </c>
      <c r="P208" s="59">
        <f>'[1]ÜDM sahələr üzrə'!AJ232</f>
        <v>106.71961170567819</v>
      </c>
      <c r="Q208" s="5">
        <f>'[1]ÜDM sahələr üzrə'!AK232</f>
        <v>118.21018836344328</v>
      </c>
      <c r="R208" s="5">
        <f>'[1]ÜDM sahələr üzrə'!AL232</f>
        <v>126.82729388325953</v>
      </c>
      <c r="S208" s="5">
        <f>'[1]ÜDM sahələr üzrə'!AM232</f>
        <v>135.42165405104092</v>
      </c>
      <c r="T208" s="6">
        <f>'[1]ÜDM sahələr üzrə'!AN232</f>
        <v>145.05514699426874</v>
      </c>
      <c r="U208" s="6">
        <f>'[1]ÜDM sahələr üzrə'!AO232</f>
        <v>145.10665532607018</v>
      </c>
    </row>
    <row r="209" spans="1:21" customFormat="1" ht="14" hidden="1">
      <c r="A209" s="70" t="s">
        <v>69</v>
      </c>
      <c r="B209" s="4" t="s">
        <v>70</v>
      </c>
      <c r="C209" s="153" t="s">
        <v>12</v>
      </c>
      <c r="D209" s="59">
        <v>4.0999999999999996</v>
      </c>
      <c r="E209" s="5">
        <v>2.7</v>
      </c>
      <c r="F209" s="5">
        <v>3.8729752783485303</v>
      </c>
      <c r="G209" s="5">
        <v>17.762361471713813</v>
      </c>
      <c r="H209" s="59">
        <v>21.9</v>
      </c>
      <c r="I209" s="59">
        <f>'[1]ÜDM sahələr üzrə'!AC233</f>
        <v>26.28</v>
      </c>
      <c r="J209" s="5">
        <f>'[1]ÜDM sahələr üzrə'!AD233</f>
        <v>56.1</v>
      </c>
      <c r="K209" s="6">
        <f>'[1]ÜDM sahələr üzrə'!AE233</f>
        <v>54.459999999999994</v>
      </c>
      <c r="L209" s="5">
        <f>'[1]ÜDM sahələr üzrə'!AF233</f>
        <v>58.64</v>
      </c>
      <c r="M209" s="5">
        <f>'[1]ÜDM sahələr üzrə'!AG233</f>
        <v>67.260000000000005</v>
      </c>
      <c r="N209" s="5">
        <f>'[1]ÜDM sahələr üzrə'!AH233</f>
        <v>57.930000000000007</v>
      </c>
      <c r="O209" s="5">
        <f>'[1]ÜDM sahələr üzrə'!AI233</f>
        <v>58.850000000000009</v>
      </c>
      <c r="P209" s="59">
        <f>'[1]ÜDM sahələr üzrə'!AJ233</f>
        <v>68.340034264191104</v>
      </c>
      <c r="Q209" s="5">
        <f>'[1]ÜDM sahələr üzrə'!AK233</f>
        <v>75.698254463423694</v>
      </c>
      <c r="R209" s="5">
        <f>'[1]ÜDM sahələr üzrə'!AL233</f>
        <v>81.216390043850083</v>
      </c>
      <c r="S209" s="5">
        <f>'[1]ÜDM sahələr üzrə'!AM233</f>
        <v>86.719960183936436</v>
      </c>
      <c r="T209" s="6">
        <f>'[1]ÜDM sahələr üzrə'!AN233</f>
        <v>92.888959745513773</v>
      </c>
      <c r="U209" s="6">
        <f>'[1]ÜDM sahələr üzrə'!AO233</f>
        <v>92.921944134268017</v>
      </c>
    </row>
    <row r="210" spans="1:21" customFormat="1" ht="14" hidden="1">
      <c r="A210" s="70" t="s">
        <v>71</v>
      </c>
      <c r="B210" s="4" t="s">
        <v>72</v>
      </c>
      <c r="C210" s="153" t="s">
        <v>12</v>
      </c>
      <c r="D210" s="59">
        <v>5.4</v>
      </c>
      <c r="E210" s="5">
        <v>3.5</v>
      </c>
      <c r="F210" s="5">
        <v>5.1270247216514697</v>
      </c>
      <c r="G210" s="5">
        <v>22.976999701941718</v>
      </c>
      <c r="H210" s="59">
        <v>28.6</v>
      </c>
      <c r="I210" s="59">
        <f>'[1]ÜDM sahələr üzrə'!AC234</f>
        <v>34.32</v>
      </c>
      <c r="J210" s="5">
        <f>'[1]ÜDM sahələr üzrə'!AD234</f>
        <v>22.1</v>
      </c>
      <c r="K210" s="6">
        <f>'[1]ÜDM sahələr üzrə'!AE234</f>
        <v>21.84</v>
      </c>
      <c r="L210" s="5">
        <f>'[1]ÜDM sahələr üzrə'!AF234</f>
        <v>21.36</v>
      </c>
      <c r="M210" s="5">
        <f>'[1]ÜDM sahələr üzrə'!AG234</f>
        <v>31.24</v>
      </c>
      <c r="N210" s="5">
        <f>'[1]ÜDM sahələr üzrə'!AH234</f>
        <v>32.47</v>
      </c>
      <c r="O210" s="5">
        <f>'[1]ÜDM sahələr üzrə'!AI234</f>
        <v>33.049999999999997</v>
      </c>
      <c r="P210" s="59">
        <f>'[1]ÜDM sahələr üzrə'!AJ234</f>
        <v>38.379577441487093</v>
      </c>
      <c r="Q210" s="5">
        <f>'[1]ÜDM sahələr üzrə'!AK234</f>
        <v>42.511933900019585</v>
      </c>
      <c r="R210" s="5">
        <f>'[1]ÜDM sahələr üzrə'!AL234</f>
        <v>45.610903839409438</v>
      </c>
      <c r="S210" s="5">
        <f>'[1]ÜDM sahələr üzrə'!AM234</f>
        <v>48.701693867104481</v>
      </c>
      <c r="T210" s="6">
        <f>'[1]ÜDM sahələr üzrə'!AN234</f>
        <v>52.166187248754966</v>
      </c>
      <c r="U210" s="6">
        <f>'[1]ÜDM sahələr üzrə'!AO234</f>
        <v>52.184711191802172</v>
      </c>
    </row>
    <row r="211" spans="1:21" customFormat="1" ht="14" hidden="1">
      <c r="A211" s="70"/>
      <c r="B211" s="4" t="s">
        <v>73</v>
      </c>
      <c r="C211" s="153" t="s">
        <v>6</v>
      </c>
      <c r="D211" s="59">
        <v>56.84210526315789</v>
      </c>
      <c r="E211" s="5">
        <v>56.451612903225801</v>
      </c>
      <c r="F211" s="5">
        <v>56.966941351682998</v>
      </c>
      <c r="G211" s="5">
        <v>56.399999999999991</v>
      </c>
      <c r="H211" s="59">
        <v>56.633663366336641</v>
      </c>
      <c r="I211" s="59">
        <f>'[1]ÜDM sahələr üzrə'!AC235</f>
        <v>56.633663366336627</v>
      </c>
      <c r="J211" s="5">
        <f>'[1]ÜDM sahələr üzrə'!AD235</f>
        <v>28.260869565217394</v>
      </c>
      <c r="K211" s="6">
        <f>'[1]ÜDM sahələr üzrə'!AE235</f>
        <v>28.623853211009177</v>
      </c>
      <c r="L211" s="5">
        <f>'[1]ÜDM sahələr üzrə'!AF235</f>
        <v>26.700000000000003</v>
      </c>
      <c r="M211" s="5">
        <f>'[1]ÜDM sahələr üzrə'!AG235</f>
        <v>31.715736040609137</v>
      </c>
      <c r="N211" s="5">
        <f>'[1]ÜDM sahələr üzrə'!AH235</f>
        <v>35.91814159292035</v>
      </c>
      <c r="O211" s="5">
        <f>'[1]ÜDM sahələr üzrə'!AI235</f>
        <v>35.963003264417843</v>
      </c>
      <c r="P211" s="59">
        <f>'[1]ÜDM sahələr üzrə'!AJ235</f>
        <v>35.963003264417843</v>
      </c>
      <c r="Q211" s="5">
        <f>'[1]ÜDM sahələr üzrə'!AK235</f>
        <v>35.963003264417843</v>
      </c>
      <c r="R211" s="5">
        <f>'[1]ÜDM sahələr üzrə'!AL235</f>
        <v>35.963003264417843</v>
      </c>
      <c r="S211" s="5">
        <f>'[1]ÜDM sahələr üzrə'!AM235</f>
        <v>35.963003264417843</v>
      </c>
      <c r="T211" s="6">
        <f>'[1]ÜDM sahələr üzrə'!AN235</f>
        <v>35.963003264417843</v>
      </c>
      <c r="U211" s="6">
        <f>'[1]ÜDM sahələr üzrə'!AO235</f>
        <v>35.963003264417843</v>
      </c>
    </row>
    <row r="212" spans="1:21" customFormat="1" ht="14" hidden="1">
      <c r="A212" s="70"/>
      <c r="B212" s="4" t="s">
        <v>16</v>
      </c>
      <c r="C212" s="153" t="s">
        <v>6</v>
      </c>
      <c r="D212" s="59">
        <v>0</v>
      </c>
      <c r="E212" s="5">
        <v>-33.9</v>
      </c>
      <c r="F212" s="5">
        <v>44</v>
      </c>
      <c r="G212" s="5">
        <v>-10.34</v>
      </c>
      <c r="H212" s="59">
        <v>24.1</v>
      </c>
      <c r="I212" s="59">
        <f>'[1]ÜDM sahələr üzrə'!AC236</f>
        <v>5.2</v>
      </c>
      <c r="J212" s="5">
        <f>'[1]ÜDM sahələr üzrə'!AD236</f>
        <v>13.349</v>
      </c>
      <c r="K212" s="6">
        <f>'[1]ÜDM sahələr üzrə'!AE236</f>
        <v>-1.1000000000000001</v>
      </c>
      <c r="L212" s="5">
        <f>'[1]ÜDM sahələr üzrə'!AF236</f>
        <v>4.2</v>
      </c>
      <c r="M212" s="5">
        <f>'[1]ÜDM sahələr üzrə'!AG236</f>
        <v>14.85</v>
      </c>
      <c r="N212" s="5">
        <f>'[1]ÜDM sahələr üzrə'!AH236</f>
        <v>-11.65</v>
      </c>
      <c r="O212" s="5">
        <f>'[1]ÜDM sahələr üzrə'!AI236</f>
        <v>1.94</v>
      </c>
      <c r="P212" s="59">
        <f>'[1]ÜDM sahələr üzrə'!AJ236</f>
        <v>11.246737933621873</v>
      </c>
      <c r="Q212" s="5">
        <f>'[1]ÜDM sahələr üzrə'!AK236</f>
        <v>6.3041631809552996</v>
      </c>
      <c r="R212" s="5">
        <f>'[1]ÜDM sahələr üzrə'!AL236</f>
        <v>6.39869766446634</v>
      </c>
      <c r="S212" s="5">
        <f>'[1]ÜDM sahələr üzrə'!AM236</f>
        <v>6.4921625556753497</v>
      </c>
      <c r="T212" s="6">
        <f>'[1]ÜDM sahələr üzrə'!AN236</f>
        <v>6.5844759552705199</v>
      </c>
      <c r="U212" s="6">
        <f>'[1]ÜDM sahələr üzrə'!AO236</f>
        <v>-0.69309480633098985</v>
      </c>
    </row>
    <row r="213" spans="1:21" customFormat="1" ht="14" hidden="1">
      <c r="A213" s="71"/>
      <c r="B213" s="9" t="s">
        <v>56</v>
      </c>
      <c r="C213" s="154" t="s">
        <v>6</v>
      </c>
      <c r="D213" s="60">
        <v>-3.5714285714285552</v>
      </c>
      <c r="E213" s="10">
        <v>-2.2000000000000002</v>
      </c>
      <c r="F213" s="10">
        <v>0.5</v>
      </c>
      <c r="G213" s="10">
        <v>399.83788768864582</v>
      </c>
      <c r="H213" s="60">
        <v>0.29999999999998295</v>
      </c>
      <c r="I213" s="59">
        <f>'[1]ÜDM sahələr üzrə'!AC237</f>
        <v>14.148265026195574</v>
      </c>
      <c r="J213" s="10">
        <f>'[1]ÜDM sahələr üzrə'!AD237</f>
        <v>-43.18967137430468</v>
      </c>
      <c r="K213" s="11">
        <f>'[1]ÜDM sahələr üzrə'!AE237</f>
        <v>-7.7321120561478551E-2</v>
      </c>
      <c r="L213" s="10">
        <f>'[1]ÜDM sahələr üzrə'!AF237</f>
        <v>-6.139925333783296</v>
      </c>
      <c r="M213" s="10">
        <f>'[1]ÜDM sahələr üzrə'!AG237</f>
        <v>27.344085022150693</v>
      </c>
      <c r="N213" s="10">
        <f>'[1]ÜDM sahələr üzrə'!AH237</f>
        <v>17.642625832682995</v>
      </c>
      <c r="O213" s="10">
        <f>'[1]ÜDM sahələr üzrə'!AI237</f>
        <v>-0.15081004128168729</v>
      </c>
      <c r="P213" s="60">
        <f>'[1]ÜDM sahələr üzrə'!AJ237</f>
        <v>4.3858038405377044</v>
      </c>
      <c r="Q213" s="10">
        <f>'[1]ÜDM sahələr üzrə'!AK237</f>
        <v>4.198243945907862</v>
      </c>
      <c r="R213" s="10">
        <f>'[1]ÜDM sahələr üzrə'!AL237</f>
        <v>0.8373687031703696</v>
      </c>
      <c r="S213" s="10">
        <f>'[1]ÜDM sahələr üzrə'!AM237</f>
        <v>0.26693549013141649</v>
      </c>
      <c r="T213" s="11">
        <f>'[1]ÜDM sahələr üzrə'!AN237</f>
        <v>0.49653203485510744</v>
      </c>
      <c r="U213" s="11">
        <f>'[1]ÜDM sahələr üzrə'!AO237</f>
        <v>0.73368945215590031</v>
      </c>
    </row>
    <row r="214" spans="1:21" customFormat="1" ht="28" hidden="1">
      <c r="A214" s="69" t="s">
        <v>37</v>
      </c>
      <c r="B214" s="26" t="s">
        <v>121</v>
      </c>
      <c r="C214" s="164"/>
      <c r="D214" s="40"/>
      <c r="E214" s="18"/>
      <c r="F214" s="18"/>
      <c r="G214" s="18"/>
      <c r="H214" s="40"/>
      <c r="I214" s="94"/>
      <c r="J214" s="18"/>
      <c r="K214" s="19"/>
      <c r="L214" s="18"/>
      <c r="M214" s="18"/>
      <c r="N214" s="18"/>
      <c r="O214" s="18"/>
      <c r="P214" s="40"/>
      <c r="Q214" s="18"/>
      <c r="R214" s="18"/>
      <c r="S214" s="18"/>
      <c r="T214" s="19"/>
      <c r="U214" s="19"/>
    </row>
    <row r="215" spans="1:21" customFormat="1" ht="14" hidden="1">
      <c r="A215" s="70" t="s">
        <v>67</v>
      </c>
      <c r="B215" s="4" t="s">
        <v>68</v>
      </c>
      <c r="C215" s="153" t="s">
        <v>12</v>
      </c>
      <c r="D215" s="59">
        <v>186.6</v>
      </c>
      <c r="E215" s="5">
        <v>278.89999999999998</v>
      </c>
      <c r="F215" s="5">
        <v>667.9</v>
      </c>
      <c r="G215" s="5">
        <v>685.1</v>
      </c>
      <c r="H215" s="59">
        <v>420.3</v>
      </c>
      <c r="I215" s="59">
        <f>'[1]ÜDM sahələr üzrə'!AC239</f>
        <v>408.2</v>
      </c>
      <c r="J215" s="5">
        <f>'[1]ÜDM sahələr üzrə'!AD239</f>
        <v>504.1</v>
      </c>
      <c r="K215" s="6">
        <f>'[1]ÜDM sahələr üzrə'!AE239</f>
        <v>324.5</v>
      </c>
      <c r="L215" s="5">
        <f>'[1]ÜDM sahələr üzrə'!AF239</f>
        <v>516</v>
      </c>
      <c r="M215" s="5">
        <f>'[1]ÜDM sahələr üzrə'!AG239</f>
        <v>581</v>
      </c>
      <c r="N215" s="5">
        <f>'[1]ÜDM sahələr üzrə'!AH239</f>
        <v>583.20000000000005</v>
      </c>
      <c r="O215" s="5">
        <f>'[1]ÜDM sahələr üzrə'!AI239</f>
        <v>642.4</v>
      </c>
      <c r="P215" s="59">
        <f>'[1]ÜDM sahələr üzrə'!AJ239</f>
        <v>700.04210432393222</v>
      </c>
      <c r="Q215" s="5">
        <f>'[1]ÜDM sahələr üzrə'!AK239</f>
        <v>753.64572231202783</v>
      </c>
      <c r="R215" s="5">
        <f>'[1]ÜDM sahələr üzrə'!AL239</f>
        <v>799.23638220186365</v>
      </c>
      <c r="S215" s="5">
        <f>'[1]ÜDM sahələr üzrə'!AM239</f>
        <v>825.06584514762324</v>
      </c>
      <c r="T215" s="6">
        <f>'[1]ÜDM sahələr üzrə'!AN239</f>
        <v>855.67988817545006</v>
      </c>
      <c r="U215" s="6">
        <f>'[1]ÜDM sahələr üzrə'!AO239</f>
        <v>860.79080790747378</v>
      </c>
    </row>
    <row r="216" spans="1:21" customFormat="1" ht="14" hidden="1">
      <c r="A216" s="70" t="s">
        <v>69</v>
      </c>
      <c r="B216" s="4" t="s">
        <v>70</v>
      </c>
      <c r="C216" s="153" t="s">
        <v>12</v>
      </c>
      <c r="D216" s="59">
        <v>110.5</v>
      </c>
      <c r="E216" s="5">
        <v>165.7</v>
      </c>
      <c r="F216" s="5">
        <v>396.9</v>
      </c>
      <c r="G216" s="5">
        <v>407.6</v>
      </c>
      <c r="H216" s="59">
        <v>249.66000000000003</v>
      </c>
      <c r="I216" s="59">
        <f>'[1]ÜDM sahələr üzrə'!AC240</f>
        <v>241.06</v>
      </c>
      <c r="J216" s="5">
        <f>'[1]ÜDM sahələr üzrə'!AD240</f>
        <v>297.8</v>
      </c>
      <c r="K216" s="6">
        <f>'[1]ÜDM sahələr üzrə'!AE240</f>
        <v>196.88</v>
      </c>
      <c r="L216" s="5">
        <f>'[1]ÜDM sahələr üzrə'!AF240</f>
        <v>305.60000000000002</v>
      </c>
      <c r="M216" s="5">
        <f>'[1]ÜDM sahələr üzrə'!AG240</f>
        <v>339.9</v>
      </c>
      <c r="N216" s="5">
        <f>'[1]ÜDM sahələr üzrə'!AH240</f>
        <v>328.90000000000003</v>
      </c>
      <c r="O216" s="5">
        <f>'[1]ÜDM sahələr üzrə'!AI240</f>
        <v>362.29999999999995</v>
      </c>
      <c r="P216" s="59">
        <f>'[1]ÜDM sahələr üzrə'!AJ240</f>
        <v>394.80892652017531</v>
      </c>
      <c r="Q216" s="5">
        <f>'[1]ÜDM sahələr üzrə'!AK240</f>
        <v>425.04023224415886</v>
      </c>
      <c r="R216" s="5">
        <f>'[1]ÜDM sahələr üzrə'!AL240</f>
        <v>450.75239923993644</v>
      </c>
      <c r="S216" s="5">
        <f>'[1]ÜDM sahələr üzrə'!AM240</f>
        <v>465.31966951585287</v>
      </c>
      <c r="T216" s="6">
        <f>'[1]ÜDM sahələr üzrə'!AN240</f>
        <v>482.58534166557519</v>
      </c>
      <c r="U216" s="6">
        <f>'[1]ÜDM sahələr üzrə'!AO240</f>
        <v>485.46779219314715</v>
      </c>
    </row>
    <row r="217" spans="1:21" customFormat="1" ht="14" hidden="1">
      <c r="A217" s="70" t="s">
        <v>71</v>
      </c>
      <c r="B217" s="4" t="s">
        <v>72</v>
      </c>
      <c r="C217" s="153" t="s">
        <v>12</v>
      </c>
      <c r="D217" s="59">
        <v>76.099999999999994</v>
      </c>
      <c r="E217" s="5">
        <v>113.2</v>
      </c>
      <c r="F217" s="5">
        <v>271</v>
      </c>
      <c r="G217" s="5">
        <v>277.5</v>
      </c>
      <c r="H217" s="59">
        <v>170.64</v>
      </c>
      <c r="I217" s="59">
        <f>'[1]ÜDM sahələr üzrə'!AC241</f>
        <v>167.14</v>
      </c>
      <c r="J217" s="5">
        <f>'[1]ÜDM sahələr üzrə'!AD241</f>
        <v>206.3</v>
      </c>
      <c r="K217" s="6">
        <f>'[1]ÜDM sahələr üzrə'!AE241</f>
        <v>127.62</v>
      </c>
      <c r="L217" s="5">
        <f>'[1]ÜDM sahələr üzrə'!AF241</f>
        <v>210.39999999999998</v>
      </c>
      <c r="M217" s="5">
        <f>'[1]ÜDM sahələr üzrə'!AG241</f>
        <v>241.1</v>
      </c>
      <c r="N217" s="5">
        <f>'[1]ÜDM sahələr üzrə'!AH241</f>
        <v>254.3</v>
      </c>
      <c r="O217" s="5">
        <f>'[1]ÜDM sahələr üzrə'!AI241</f>
        <v>280.10000000000002</v>
      </c>
      <c r="P217" s="59">
        <f>'[1]ÜDM sahələr üzrə'!AJ241</f>
        <v>305.23317780375692</v>
      </c>
      <c r="Q217" s="5">
        <f>'[1]ÜDM sahələr üzrə'!AK241</f>
        <v>328.60549006786897</v>
      </c>
      <c r="R217" s="5">
        <f>'[1]ÜDM sahələr üzrə'!AL241</f>
        <v>348.48398296192721</v>
      </c>
      <c r="S217" s="5">
        <f>'[1]ÜDM sahələr üzrə'!AM241</f>
        <v>359.74617563177037</v>
      </c>
      <c r="T217" s="6">
        <f>'[1]ÜDM sahələr üzrə'!AN241</f>
        <v>373.09454650987487</v>
      </c>
      <c r="U217" s="6">
        <f>'[1]ÜDM sahələr üzrə'!AO241</f>
        <v>375.32301571432663</v>
      </c>
    </row>
    <row r="218" spans="1:21" customFormat="1" ht="14" hidden="1">
      <c r="A218" s="70"/>
      <c r="B218" s="4" t="s">
        <v>73</v>
      </c>
      <c r="C218" s="153" t="s">
        <v>6</v>
      </c>
      <c r="D218" s="59">
        <v>40.782422293676312</v>
      </c>
      <c r="E218" s="5">
        <v>40.588024381498748</v>
      </c>
      <c r="F218" s="5">
        <v>40.574936367719722</v>
      </c>
      <c r="G218" s="5">
        <v>40.505035761202741</v>
      </c>
      <c r="H218" s="59">
        <v>40.599571734475369</v>
      </c>
      <c r="I218" s="59">
        <f>'[1]ÜDM sahələr üzrə'!AC242</f>
        <v>40.945614894659478</v>
      </c>
      <c r="J218" s="5">
        <f>'[1]ÜDM sahələr üzrə'!AD242</f>
        <v>40.924419757984523</v>
      </c>
      <c r="K218" s="6">
        <f>'[1]ÜDM sahələr üzrə'!AE242</f>
        <v>39.328197226502311</v>
      </c>
      <c r="L218" s="5">
        <f>'[1]ÜDM sahələr üzrə'!AF242</f>
        <v>40.775193798449614</v>
      </c>
      <c r="M218" s="5">
        <f>'[1]ÜDM sahələr üzrə'!AG242</f>
        <v>41.497418244406198</v>
      </c>
      <c r="N218" s="5">
        <f>'[1]ÜDM sahələr üzrə'!AH242</f>
        <v>43.604252400548695</v>
      </c>
      <c r="O218" s="5">
        <f>'[1]ÜDM sahələr üzrə'!AI242</f>
        <v>43.602117061021175</v>
      </c>
      <c r="P218" s="59">
        <f>'[1]ÜDM sahələr üzrə'!AJ242</f>
        <v>43.602117061021175</v>
      </c>
      <c r="Q218" s="5">
        <f>'[1]ÜDM sahələr üzrə'!AK242</f>
        <v>43.602117061021175</v>
      </c>
      <c r="R218" s="5">
        <f>'[1]ÜDM sahələr üzrə'!AL242</f>
        <v>43.602117061021175</v>
      </c>
      <c r="S218" s="5">
        <f>'[1]ÜDM sahələr üzrə'!AM242</f>
        <v>43.602117061021175</v>
      </c>
      <c r="T218" s="6">
        <f>'[1]ÜDM sahələr üzrə'!AN242</f>
        <v>43.602117061021175</v>
      </c>
      <c r="U218" s="6">
        <f>'[1]ÜDM sahələr üzrə'!AO242</f>
        <v>43.602117061021175</v>
      </c>
    </row>
    <row r="219" spans="1:21" customFormat="1" ht="14" hidden="1">
      <c r="A219" s="70"/>
      <c r="B219" s="4" t="s">
        <v>16</v>
      </c>
      <c r="C219" s="153" t="s">
        <v>6</v>
      </c>
      <c r="D219" s="59">
        <v>49.3</v>
      </c>
      <c r="E219" s="5">
        <v>51.5</v>
      </c>
      <c r="F219" s="5">
        <v>108.8</v>
      </c>
      <c r="G219" s="5">
        <v>10.7</v>
      </c>
      <c r="H219" s="59">
        <v>-41.548999999999999</v>
      </c>
      <c r="I219" s="59">
        <f>'[1]ÜDM sahələr üzrə'!AC243</f>
        <v>1.3</v>
      </c>
      <c r="J219" s="5">
        <f>'[1]ÜDM sahələr üzrə'!AD243</f>
        <v>33</v>
      </c>
      <c r="K219" s="6">
        <f>'[1]ÜDM sahələr üzrə'!AE243</f>
        <v>-35.4</v>
      </c>
      <c r="L219" s="5">
        <f>'[1]ÜDM sahələr üzrə'!AF243</f>
        <v>56.5</v>
      </c>
      <c r="M219" s="5">
        <f>'[1]ÜDM sahələr üzrə'!AG243</f>
        <v>11.5</v>
      </c>
      <c r="N219" s="5">
        <f>'[1]ÜDM sahələr üzrə'!AH243</f>
        <v>-3.6</v>
      </c>
      <c r="O219" s="5">
        <f>'[1]ÜDM sahələr üzrə'!AI243</f>
        <v>10.6</v>
      </c>
      <c r="P219" s="59">
        <f>'[1]ÜDM sahələr üzrə'!AJ243</f>
        <v>4.1493395761853691</v>
      </c>
      <c r="Q219" s="5">
        <f>'[1]ÜDM sahələr üzrə'!AK243</f>
        <v>3.3195906788410383</v>
      </c>
      <c r="R219" s="5">
        <f>'[1]ÜDM sahələr üzrə'!AL243</f>
        <v>4.2421027482156859</v>
      </c>
      <c r="S219" s="5">
        <f>'[1]ÜDM sahələr üzrə'!AM243</f>
        <v>2.0498294572930149</v>
      </c>
      <c r="T219" s="6">
        <f>'[1]ÜDM sahələr üzrə'!AN243</f>
        <v>2.2888511650511134</v>
      </c>
      <c r="U219" s="6">
        <f>'[1]ÜDM sahələr üzrə'!AO243</f>
        <v>-1.0152668845502859</v>
      </c>
    </row>
    <row r="220" spans="1:21" customFormat="1" ht="14" hidden="1">
      <c r="A220" s="71"/>
      <c r="B220" s="9" t="s">
        <v>56</v>
      </c>
      <c r="C220" s="154" t="s">
        <v>6</v>
      </c>
      <c r="D220" s="60">
        <v>1.942397856664428</v>
      </c>
      <c r="E220" s="10">
        <v>-1.8140973098623903</v>
      </c>
      <c r="F220" s="10">
        <v>14.6</v>
      </c>
      <c r="G220" s="10">
        <v>-7.4990749907499037</v>
      </c>
      <c r="H220" s="60">
        <v>5.2024634170362987</v>
      </c>
      <c r="I220" s="59">
        <f>'[1]ÜDM sahələr üzrə'!AC244</f>
        <v>-3.3080964804008204</v>
      </c>
      <c r="J220" s="10">
        <f>'[1]ÜDM sahələr üzrə'!AD244</f>
        <v>-7.1958944867253649</v>
      </c>
      <c r="K220" s="11">
        <f>'[1]ÜDM sahələr üzrə'!AE244</f>
        <v>-4.2393700598335187</v>
      </c>
      <c r="L220" s="10">
        <f>'[1]ÜDM sahələr üzrə'!AF244</f>
        <v>5.3446909329964569</v>
      </c>
      <c r="M220" s="10">
        <f>'[1]ÜDM sahələr üzrə'!AG244</f>
        <v>2.772425787310965</v>
      </c>
      <c r="N220" s="10">
        <f>'[1]ÜDM sahələr üzrə'!AH244</f>
        <v>9.413803607600741</v>
      </c>
      <c r="O220" s="10">
        <f>'[1]ÜDM sahələr üzrə'!AI244</f>
        <v>-0.41094263656074759</v>
      </c>
      <c r="P220" s="60">
        <f>'[1]ÜDM sahələr üzrə'!AJ244</f>
        <v>4.631417496633091</v>
      </c>
      <c r="Q220" s="10">
        <f>'[1]ÜDM sahələr üzrə'!AK244</f>
        <v>4.198243945907862</v>
      </c>
      <c r="R220" s="10">
        <f>'[1]ÜDM sahələr üzrə'!AL244</f>
        <v>1.7337008694207725</v>
      </c>
      <c r="S220" s="10">
        <f>'[1]ÜDM sahələr üzrə'!AM244</f>
        <v>1.1581971389325645</v>
      </c>
      <c r="T220" s="11">
        <f>'[1]ÜDM sahələr üzrə'!AN244</f>
        <v>1.3898345418315898</v>
      </c>
      <c r="U220" s="11">
        <f>'[1]ÜDM sahələr üzrə'!AO244</f>
        <v>1.6291000250639627</v>
      </c>
    </row>
    <row r="221" spans="1:21" customFormat="1" ht="42">
      <c r="A221" s="117" t="s">
        <v>26</v>
      </c>
      <c r="B221" s="125" t="s">
        <v>122</v>
      </c>
      <c r="C221" s="152"/>
      <c r="D221" s="120"/>
      <c r="E221" s="123"/>
      <c r="F221" s="123"/>
      <c r="G221" s="123"/>
      <c r="H221" s="120"/>
      <c r="I221" s="204"/>
      <c r="J221" s="123"/>
      <c r="K221" s="124"/>
      <c r="L221" s="123"/>
      <c r="M221" s="123"/>
      <c r="N221" s="123"/>
      <c r="O221" s="123"/>
      <c r="P221" s="120"/>
      <c r="Q221" s="123"/>
      <c r="R221" s="123"/>
      <c r="S221" s="123"/>
      <c r="T221" s="124"/>
      <c r="U221" s="124"/>
    </row>
    <row r="222" spans="1:21" customFormat="1" ht="14">
      <c r="A222" s="66" t="s">
        <v>67</v>
      </c>
      <c r="B222" s="4" t="s">
        <v>68</v>
      </c>
      <c r="C222" s="153" t="s">
        <v>12</v>
      </c>
      <c r="D222" s="59">
        <v>1773.9</v>
      </c>
      <c r="E222" s="5">
        <v>1824.4</v>
      </c>
      <c r="F222" s="5">
        <v>1887.2</v>
      </c>
      <c r="G222" s="5">
        <v>1937.5</v>
      </c>
      <c r="H222" s="59">
        <v>1872.6</v>
      </c>
      <c r="I222" s="59">
        <f>'[1]ÜDM sahələr üzrə'!AC246</f>
        <v>1994.1</v>
      </c>
      <c r="J222" s="5">
        <f>'[1]ÜDM sahələr üzrə'!AD246</f>
        <v>2028.2</v>
      </c>
      <c r="K222" s="6">
        <f>'[1]ÜDM sahələr üzrə'!AE246</f>
        <v>2286.1999999999998</v>
      </c>
      <c r="L222" s="5">
        <f>'[1]ÜDM sahələr üzrə'!AF246</f>
        <v>2698.1</v>
      </c>
      <c r="M222" s="5">
        <f>'[1]ÜDM sahələr üzrə'!AG246</f>
        <v>3057.3</v>
      </c>
      <c r="N222" s="5">
        <f>'[1]ÜDM sahələr üzrə'!AH246</f>
        <v>3181.3</v>
      </c>
      <c r="O222" s="5">
        <f>'[1]ÜDM sahələr üzrə'!AI246</f>
        <v>3184.1</v>
      </c>
      <c r="P222" s="59">
        <f>'[1]ÜDM sahələr üzrə'!AJ246</f>
        <v>3360.4451335446165</v>
      </c>
      <c r="Q222" s="5">
        <f>'[1]ÜDM sahələr üzrə'!AK246</f>
        <v>3517.7132339721616</v>
      </c>
      <c r="R222" s="5">
        <f>'[1]ÜDM sahələr üzrə'!AL246</f>
        <v>3677.5980758873388</v>
      </c>
      <c r="S222" s="5">
        <f>'[1]ÜDM sahələr üzrə'!AM246</f>
        <v>3852.3122150974064</v>
      </c>
      <c r="T222" s="6">
        <f>'[1]ÜDM sahələr üzrə'!AN246</f>
        <v>4038.160310909795</v>
      </c>
      <c r="U222" s="6">
        <f>'[1]ÜDM sahələr üzrə'!AO246</f>
        <v>4172.0089306103782</v>
      </c>
    </row>
    <row r="223" spans="1:21" customFormat="1" ht="14">
      <c r="A223" s="66" t="s">
        <v>69</v>
      </c>
      <c r="B223" s="4" t="s">
        <v>70</v>
      </c>
      <c r="C223" s="153" t="s">
        <v>12</v>
      </c>
      <c r="D223" s="59">
        <v>666.40000000000009</v>
      </c>
      <c r="E223" s="5">
        <v>746.2</v>
      </c>
      <c r="F223" s="5">
        <v>1152.5</v>
      </c>
      <c r="G223" s="5">
        <v>1181.9000000000001</v>
      </c>
      <c r="H223" s="59">
        <v>1143.1599999999999</v>
      </c>
      <c r="I223" s="59">
        <f>'[1]ÜDM sahələr üzrə'!AC247</f>
        <v>1216.1999999999998</v>
      </c>
      <c r="J223" s="5">
        <f>'[1]ÜDM sahələr üzrə'!AD247</f>
        <v>1236.5</v>
      </c>
      <c r="K223" s="6">
        <f>'[1]ÜDM sahələr üzrə'!AE247</f>
        <v>1395.9999999999998</v>
      </c>
      <c r="L223" s="5">
        <f>'[1]ÜDM sahələr üzrə'!AF247</f>
        <v>1605.36</v>
      </c>
      <c r="M223" s="5">
        <f>'[1]ÜDM sahələr üzrə'!AG247</f>
        <v>1786.16</v>
      </c>
      <c r="N223" s="5">
        <f>'[1]ÜDM sahələr üzrə'!AH247</f>
        <v>1861.0600000000002</v>
      </c>
      <c r="O223" s="5">
        <f>'[1]ÜDM sahələr üzrə'!AI247</f>
        <v>1862.6999999999998</v>
      </c>
      <c r="P223" s="59">
        <f>'[1]ÜDM sahələr üzrə'!AJ247</f>
        <v>1965.8619861981588</v>
      </c>
      <c r="Q223" s="5">
        <f>'[1]ÜDM sahələr üzrə'!AK247</f>
        <v>2057.8638990358168</v>
      </c>
      <c r="R223" s="5">
        <f>'[1]ÜDM sahələr üzrə'!AL247</f>
        <v>2151.396606876463</v>
      </c>
      <c r="S223" s="5">
        <f>'[1]ÜDM sahələr üzrə'!AM247</f>
        <v>2253.6044606205642</v>
      </c>
      <c r="T223" s="6">
        <f>'[1]ÜDM sahələr üzrə'!AN247</f>
        <v>2362.3256842221272</v>
      </c>
      <c r="U223" s="6">
        <f>'[1]ÜDM sahələr üzrə'!AO247</f>
        <v>2440.6271898018126</v>
      </c>
    </row>
    <row r="224" spans="1:21" customFormat="1" ht="14">
      <c r="A224" s="66" t="s">
        <v>71</v>
      </c>
      <c r="B224" s="4" t="s">
        <v>72</v>
      </c>
      <c r="C224" s="153" t="s">
        <v>12</v>
      </c>
      <c r="D224" s="59">
        <v>1107.5</v>
      </c>
      <c r="E224" s="5">
        <v>1078.2</v>
      </c>
      <c r="F224" s="5">
        <v>734.7</v>
      </c>
      <c r="G224" s="5">
        <v>755.6</v>
      </c>
      <c r="H224" s="59">
        <v>729.44</v>
      </c>
      <c r="I224" s="59">
        <f>'[1]ÜDM sahələr üzrə'!AC248</f>
        <v>777.9</v>
      </c>
      <c r="J224" s="5">
        <f>'[1]ÜDM sahələr üzrə'!AD248</f>
        <v>791.7</v>
      </c>
      <c r="K224" s="6">
        <f>'[1]ÜDM sahələr üzrə'!AE248</f>
        <v>890.2</v>
      </c>
      <c r="L224" s="5">
        <f>'[1]ÜDM sahələr üzrə'!AF248</f>
        <v>1092.74</v>
      </c>
      <c r="M224" s="5">
        <f>'[1]ÜDM sahələr üzrə'!AG248</f>
        <v>1271.1400000000001</v>
      </c>
      <c r="N224" s="5">
        <f>'[1]ÜDM sahələr üzrə'!AH248</f>
        <v>1320.24</v>
      </c>
      <c r="O224" s="5">
        <f>'[1]ÜDM sahələr üzrə'!AI248</f>
        <v>1321.4</v>
      </c>
      <c r="P224" s="59">
        <f>'[1]ÜDM sahələr üzrə'!AJ248</f>
        <v>1394.5831473464577</v>
      </c>
      <c r="Q224" s="5">
        <f>'[1]ÜDM sahələr üzrə'!AK248</f>
        <v>1459.8493349363446</v>
      </c>
      <c r="R224" s="5">
        <f>'[1]ÜDM sahələr üzrə'!AL248</f>
        <v>1526.2014690108758</v>
      </c>
      <c r="S224" s="5">
        <f>'[1]ÜDM sahələr üzrə'!AM248</f>
        <v>1598.707754476842</v>
      </c>
      <c r="T224" s="6">
        <f>'[1]ÜDM sahələr üzrə'!AN248</f>
        <v>1675.8346266876679</v>
      </c>
      <c r="U224" s="6">
        <f>'[1]ÜDM sahələr üzrə'!AO248</f>
        <v>1731.3817408085656</v>
      </c>
    </row>
    <row r="225" spans="1:21" customFormat="1" ht="14">
      <c r="A225" s="66"/>
      <c r="B225" s="4" t="s">
        <v>73</v>
      </c>
      <c r="C225" s="153" t="s">
        <v>6</v>
      </c>
      <c r="D225" s="59">
        <v>62.433057105812054</v>
      </c>
      <c r="E225" s="5">
        <v>59.098881824161367</v>
      </c>
      <c r="F225" s="5">
        <v>38.930690970750319</v>
      </c>
      <c r="G225" s="5">
        <v>38.998709677419356</v>
      </c>
      <c r="H225" s="59">
        <v>38.953326925130838</v>
      </c>
      <c r="I225" s="59">
        <f>'[1]ÜDM sahələr üzrə'!AC249</f>
        <v>39.010079735218895</v>
      </c>
      <c r="J225" s="5">
        <f>'[1]ÜDM sahələr üzrə'!AD249</f>
        <v>39.034611971205997</v>
      </c>
      <c r="K225" s="6">
        <f>'[1]ÜDM sahələr üzrə'!AE249</f>
        <v>38.937975680167966</v>
      </c>
      <c r="L225" s="5">
        <f>'[1]ÜDM sahələr üzrə'!AF249</f>
        <v>40.500352099625665</v>
      </c>
      <c r="M225" s="5">
        <f>'[1]ÜDM sahələr üzrə'!AG249</f>
        <v>41.577208648153601</v>
      </c>
      <c r="N225" s="5">
        <f>'[1]ÜDM sahələr üzrə'!AH249</f>
        <v>41.500015716845311</v>
      </c>
      <c r="O225" s="5">
        <f>'[1]ÜDM sahələr üzrə'!AI249</f>
        <v>41.499952890926792</v>
      </c>
      <c r="P225" s="59">
        <f>'[1]ÜDM sahələr üzrə'!AJ249</f>
        <v>41.499952890926792</v>
      </c>
      <c r="Q225" s="5">
        <f>'[1]ÜDM sahələr üzrə'!AK249</f>
        <v>41.499952890926792</v>
      </c>
      <c r="R225" s="5">
        <f>'[1]ÜDM sahələr üzrə'!AL249</f>
        <v>41.499952890926792</v>
      </c>
      <c r="S225" s="5">
        <f>'[1]ÜDM sahələr üzrə'!AM249</f>
        <v>41.499952890926792</v>
      </c>
      <c r="T225" s="6">
        <f>'[1]ÜDM sahələr üzrə'!AN249</f>
        <v>41.499952890926792</v>
      </c>
      <c r="U225" s="6">
        <f>'[1]ÜDM sahələr üzrə'!AO249</f>
        <v>41.499952890926792</v>
      </c>
    </row>
    <row r="226" spans="1:21" customFormat="1" ht="14">
      <c r="A226" s="66"/>
      <c r="B226" s="3" t="s">
        <v>16</v>
      </c>
      <c r="C226" s="153" t="s">
        <v>6</v>
      </c>
      <c r="D226" s="59">
        <v>3.2000000000000028</v>
      </c>
      <c r="E226" s="5">
        <v>6</v>
      </c>
      <c r="F226" s="5">
        <v>-0.40000000000000568</v>
      </c>
      <c r="G226" s="5">
        <v>-0.5</v>
      </c>
      <c r="H226" s="59">
        <v>-2.6</v>
      </c>
      <c r="I226" s="59">
        <f>'[1]ÜDM sahələr üzrə'!AC250</f>
        <v>7</v>
      </c>
      <c r="J226" s="5">
        <f>'[1]ÜDM sahələr üzrə'!AD250</f>
        <v>3.4990000000000001</v>
      </c>
      <c r="K226" s="6">
        <f>'[1]ÜDM sahələr üzrə'!AE250</f>
        <v>0.5</v>
      </c>
      <c r="L226" s="5">
        <f>'[1]ÜDM sahələr üzrə'!AF250</f>
        <v>7.4</v>
      </c>
      <c r="M226" s="5">
        <f>'[1]ÜDM sahələr üzrə'!AG250</f>
        <v>3.1</v>
      </c>
      <c r="N226" s="5">
        <f>'[1]ÜDM sahələr üzrə'!AH250</f>
        <v>1</v>
      </c>
      <c r="O226" s="5">
        <f>'[1]ÜDM sahələr üzrə'!AI250</f>
        <v>-1.7</v>
      </c>
      <c r="P226" s="59">
        <f>'[1]ÜDM sahələr üzrə'!AJ250</f>
        <v>5.5383038706264358</v>
      </c>
      <c r="Q226" s="5">
        <f>'[1]ÜDM sahələr üzrə'!AK250</f>
        <v>4.6799782224582316</v>
      </c>
      <c r="R226" s="5">
        <f>'[1]ÜDM sahələr üzrə'!AL250</f>
        <v>4.5451357538498485</v>
      </c>
      <c r="S226" s="5">
        <f>'[1]ÜDM sahələr üzrə'!AM250</f>
        <v>4.750767637051041</v>
      </c>
      <c r="T226" s="6">
        <f>'[1]ÜDM sahələr üzrə'!AN250</f>
        <v>4.8243258966404738</v>
      </c>
      <c r="U226" s="6">
        <f>'[1]ÜDM sahələr üzrə'!AO250</f>
        <v>3.3145940080428886</v>
      </c>
    </row>
    <row r="227" spans="1:21" customFormat="1" ht="14">
      <c r="A227" s="67"/>
      <c r="B227" s="8" t="s">
        <v>56</v>
      </c>
      <c r="C227" s="154" t="s">
        <v>6</v>
      </c>
      <c r="D227" s="60">
        <v>-0.83543571163535546</v>
      </c>
      <c r="E227" s="10">
        <v>-8.1562247114442528</v>
      </c>
      <c r="F227" s="10">
        <v>-31.584993284210867</v>
      </c>
      <c r="G227" s="10">
        <v>3.3615060466344318</v>
      </c>
      <c r="H227" s="59">
        <v>-0.88516353730609865</v>
      </c>
      <c r="I227" s="59">
        <f>'[1]ÜDM sahələr üzrə'!AC251</f>
        <v>-0.32775626619240938</v>
      </c>
      <c r="J227" s="10">
        <f>'[1]ÜDM sahələr üzrə'!AD251</f>
        <v>-1.666676062796455</v>
      </c>
      <c r="K227" s="11">
        <f>'[1]ÜDM sahələr üzrə'!AE251</f>
        <v>11.882170554327033</v>
      </c>
      <c r="L227" s="10">
        <f>'[1]ÜDM sahələr üzrə'!AF251</f>
        <v>14.294404580060032</v>
      </c>
      <c r="M227" s="10">
        <f>'[1]ÜDM sahələr üzrə'!AG251</f>
        <v>12.828257008556989</v>
      </c>
      <c r="N227" s="10">
        <f>'[1]ÜDM sahələr üzrə'!AH251</f>
        <v>2.8343311383233214</v>
      </c>
      <c r="O227" s="10">
        <f>'[1]ÜDM sahələr üzrə'!AI251</f>
        <v>1.8187821086692963</v>
      </c>
      <c r="P227" s="60">
        <f>'[1]ÜDM sahələr üzrə'!AJ251</f>
        <v>0</v>
      </c>
      <c r="Q227" s="10">
        <f>'[1]ÜDM sahələr üzrə'!AK251</f>
        <v>0</v>
      </c>
      <c r="R227" s="10">
        <f>'[1]ÜDM sahələr üzrə'!AL251</f>
        <v>0</v>
      </c>
      <c r="S227" s="10">
        <f>'[1]ÜDM sahələr üzrə'!AM251</f>
        <v>0</v>
      </c>
      <c r="T227" s="11">
        <f>'[1]ÜDM sahələr üzrə'!AN251</f>
        <v>0</v>
      </c>
      <c r="U227" s="11">
        <f>'[1]ÜDM sahələr üzrə'!AO251</f>
        <v>0</v>
      </c>
    </row>
    <row r="228" spans="1:21" customFormat="1" ht="28">
      <c r="A228" s="117" t="s">
        <v>27</v>
      </c>
      <c r="B228" s="125" t="s">
        <v>123</v>
      </c>
      <c r="C228" s="152"/>
      <c r="D228" s="120"/>
      <c r="E228" s="123"/>
      <c r="F228" s="123"/>
      <c r="G228" s="123"/>
      <c r="H228" s="118"/>
      <c r="I228" s="204"/>
      <c r="J228" s="123"/>
      <c r="K228" s="124"/>
      <c r="L228" s="123"/>
      <c r="M228" s="123"/>
      <c r="N228" s="123"/>
      <c r="O228" s="123"/>
      <c r="P228" s="120"/>
      <c r="Q228" s="123"/>
      <c r="R228" s="123"/>
      <c r="S228" s="123"/>
      <c r="T228" s="124"/>
      <c r="U228" s="124"/>
    </row>
    <row r="229" spans="1:21" customFormat="1" ht="14">
      <c r="A229" s="66" t="s">
        <v>67</v>
      </c>
      <c r="B229" s="4" t="s">
        <v>68</v>
      </c>
      <c r="C229" s="153" t="s">
        <v>12</v>
      </c>
      <c r="D229" s="59">
        <v>225.1</v>
      </c>
      <c r="E229" s="5">
        <v>233.4</v>
      </c>
      <c r="F229" s="5">
        <v>239.5</v>
      </c>
      <c r="G229" s="5">
        <v>271</v>
      </c>
      <c r="H229" s="59">
        <v>303</v>
      </c>
      <c r="I229" s="59">
        <f>'[1]ÜDM sahələr üzrə'!AC253</f>
        <v>326.3</v>
      </c>
      <c r="J229" s="5">
        <f>'[1]ÜDM sahələr üzrə'!AD253</f>
        <v>336.2</v>
      </c>
      <c r="K229" s="6">
        <f>'[1]ÜDM sahələr üzrə'!AE253</f>
        <v>374.6</v>
      </c>
      <c r="L229" s="5">
        <f>'[1]ÜDM sahələr üzrə'!AF253</f>
        <v>460.6</v>
      </c>
      <c r="M229" s="5">
        <f>'[1]ÜDM sahələr üzrə'!AG253</f>
        <v>538.4</v>
      </c>
      <c r="N229" s="5">
        <f>'[1]ÜDM sahələr üzrə'!AH253</f>
        <v>644.29999999999995</v>
      </c>
      <c r="O229" s="5">
        <f>'[1]ÜDM sahələr üzrə'!AI253</f>
        <v>668</v>
      </c>
      <c r="P229" s="59">
        <f>'[1]ÜDM sahələr üzrə'!AJ253</f>
        <v>693.99476080402428</v>
      </c>
      <c r="Q229" s="5">
        <f>'[1]ÜDM sahələr üzrə'!AK253</f>
        <v>706.60714862952102</v>
      </c>
      <c r="R229" s="5">
        <f>'[1]ÜDM sahələr üzrə'!AL253</f>
        <v>731.67943083166585</v>
      </c>
      <c r="S229" s="5">
        <f>'[1]ÜDM sahələr üzrə'!AM253</f>
        <v>753.06351324558796</v>
      </c>
      <c r="T229" s="6">
        <f>'[1]ÜDM sahələr üzrə'!AN253</f>
        <v>771.79976853970413</v>
      </c>
      <c r="U229" s="6">
        <f>'[1]ÜDM sahələr üzrə'!AO253</f>
        <v>690.07939037863434</v>
      </c>
    </row>
    <row r="230" spans="1:21" customFormat="1" ht="14">
      <c r="A230" s="66" t="s">
        <v>69</v>
      </c>
      <c r="B230" s="4" t="s">
        <v>70</v>
      </c>
      <c r="C230" s="153" t="s">
        <v>12</v>
      </c>
      <c r="D230" s="59">
        <v>134</v>
      </c>
      <c r="E230" s="5">
        <v>142.4</v>
      </c>
      <c r="F230" s="5">
        <v>145.99402507287112</v>
      </c>
      <c r="G230" s="5">
        <v>164.55</v>
      </c>
      <c r="H230" s="59">
        <v>168.84</v>
      </c>
      <c r="I230" s="59">
        <f>'[1]ÜDM sahələr üzrə'!AC254</f>
        <v>180.60000000000002</v>
      </c>
      <c r="J230" s="5">
        <f>'[1]ÜDM sahələr üzrə'!AD254</f>
        <v>186.6</v>
      </c>
      <c r="K230" s="6">
        <f>'[1]ÜDM sahələr üzrə'!AE254</f>
        <v>208.8</v>
      </c>
      <c r="L230" s="5">
        <f>'[1]ÜDM sahələr üzrə'!AF254</f>
        <v>229.40000000000003</v>
      </c>
      <c r="M230" s="5">
        <f>'[1]ÜDM sahələr üzrə'!AG254</f>
        <v>298.29999999999995</v>
      </c>
      <c r="N230" s="5">
        <f>'[1]ÜDM sahələr üzrə'!AH254</f>
        <v>372.99999999999994</v>
      </c>
      <c r="O230" s="5">
        <f>'[1]ÜDM sahələr üzrə'!AI254</f>
        <v>386.8</v>
      </c>
      <c r="P230" s="59">
        <f>'[1]ÜDM sahələr üzrə'!AJ254</f>
        <v>401.85205610628236</v>
      </c>
      <c r="Q230" s="5">
        <f>'[1]ÜDM sahələr üzrə'!AK254</f>
        <v>409.15515732020765</v>
      </c>
      <c r="R230" s="5">
        <f>'[1]ÜDM sahələr üzrə'!AL254</f>
        <v>423.67305964923406</v>
      </c>
      <c r="S230" s="5">
        <f>'[1]ÜDM sahələr üzrə'!AM254</f>
        <v>436.05533970567876</v>
      </c>
      <c r="T230" s="6">
        <f>'[1]ÜDM sahələr üzrə'!AN254</f>
        <v>446.9044168729904</v>
      </c>
      <c r="U230" s="6">
        <f>'[1]ÜDM sahələr üzrə'!AO254</f>
        <v>399.58489251265831</v>
      </c>
    </row>
    <row r="231" spans="1:21" customFormat="1" ht="14">
      <c r="A231" s="66" t="s">
        <v>71</v>
      </c>
      <c r="B231" s="4" t="s">
        <v>72</v>
      </c>
      <c r="C231" s="153" t="s">
        <v>12</v>
      </c>
      <c r="D231" s="59">
        <v>91.1</v>
      </c>
      <c r="E231" s="5">
        <v>91</v>
      </c>
      <c r="F231" s="5">
        <v>93.505974927128875</v>
      </c>
      <c r="G231" s="5">
        <v>106.45</v>
      </c>
      <c r="H231" s="59">
        <v>134.16</v>
      </c>
      <c r="I231" s="59">
        <f>'[1]ÜDM sahələr üzrə'!AC255</f>
        <v>145.69999999999999</v>
      </c>
      <c r="J231" s="5">
        <f>'[1]ÜDM sahələr üzrə'!AD255</f>
        <v>149.6</v>
      </c>
      <c r="K231" s="6">
        <f>'[1]ÜDM sahələr üzrə'!AE255</f>
        <v>165.8</v>
      </c>
      <c r="L231" s="5">
        <f>'[1]ÜDM sahələr üzrə'!AF255</f>
        <v>231.2</v>
      </c>
      <c r="M231" s="5">
        <f>'[1]ÜDM sahələr üzrə'!AG255</f>
        <v>240.1</v>
      </c>
      <c r="N231" s="5">
        <f>'[1]ÜDM sahələr üzrə'!AH255</f>
        <v>271.3</v>
      </c>
      <c r="O231" s="5">
        <f>'[1]ÜDM sahələr üzrə'!AI255</f>
        <v>281.2</v>
      </c>
      <c r="P231" s="59">
        <f>'[1]ÜDM sahələr üzrə'!AJ255</f>
        <v>292.14270469774192</v>
      </c>
      <c r="Q231" s="5">
        <f>'[1]ÜDM sahələr üzrə'!AK255</f>
        <v>297.45199130931337</v>
      </c>
      <c r="R231" s="5">
        <f>'[1]ÜDM sahələr üzrə'!AL255</f>
        <v>308.00637118243179</v>
      </c>
      <c r="S231" s="5">
        <f>'[1]ÜDM sahələr üzrə'!AM255</f>
        <v>317.00817353990919</v>
      </c>
      <c r="T231" s="6">
        <f>'[1]ÜDM sahələr üzrə'!AN255</f>
        <v>324.89535166671374</v>
      </c>
      <c r="U231" s="6">
        <f>'[1]ÜDM sahələr üzrə'!AO255</f>
        <v>290.49449786597603</v>
      </c>
    </row>
    <row r="232" spans="1:21" customFormat="1" ht="14">
      <c r="A232" s="66"/>
      <c r="B232" s="4" t="s">
        <v>73</v>
      </c>
      <c r="C232" s="153" t="s">
        <v>6</v>
      </c>
      <c r="D232" s="59">
        <v>40.470901821412703</v>
      </c>
      <c r="E232" s="5">
        <v>38.988860325621246</v>
      </c>
      <c r="F232" s="5">
        <v>39.04216072113941</v>
      </c>
      <c r="G232" s="5">
        <v>39.280442804428048</v>
      </c>
      <c r="H232" s="59">
        <v>44.277227722772281</v>
      </c>
      <c r="I232" s="59">
        <f>'[1]ÜDM sahələr üzrə'!AC256</f>
        <v>44.652160588415562</v>
      </c>
      <c r="J232" s="5">
        <f>'[1]ÜDM sahələr üzrə'!AD256</f>
        <v>44.497323022010711</v>
      </c>
      <c r="K232" s="6">
        <f>'[1]ÜDM sahələr üzrə'!AE256</f>
        <v>44.260544580886283</v>
      </c>
      <c r="L232" s="5">
        <f>'[1]ÜDM sahələr üzrə'!AF256</f>
        <v>50.195397307859309</v>
      </c>
      <c r="M232" s="5">
        <f>'[1]ÜDM sahələr üzrə'!AG256</f>
        <v>44.595096582466567</v>
      </c>
      <c r="N232" s="5">
        <f>'[1]ÜDM sahələr üzrə'!AH256</f>
        <v>42.107713797920226</v>
      </c>
      <c r="O232" s="5">
        <f>'[1]ÜDM sahələr üzrə'!AI256</f>
        <v>42.095808383233532</v>
      </c>
      <c r="P232" s="59">
        <f>'[1]ÜDM sahələr üzrə'!AJ256</f>
        <v>42.095808383233532</v>
      </c>
      <c r="Q232" s="5">
        <f>'[1]ÜDM sahələr üzrə'!AK256</f>
        <v>42.095808383233532</v>
      </c>
      <c r="R232" s="5">
        <f>'[1]ÜDM sahələr üzrə'!AL256</f>
        <v>42.095808383233532</v>
      </c>
      <c r="S232" s="5">
        <f>'[1]ÜDM sahələr üzrə'!AM256</f>
        <v>42.095808383233532</v>
      </c>
      <c r="T232" s="6">
        <f>'[1]ÜDM sahələr üzrə'!AN256</f>
        <v>42.095808383233532</v>
      </c>
      <c r="U232" s="6">
        <f>'[1]ÜDM sahələr üzrə'!AO256</f>
        <v>42.095808383233532</v>
      </c>
    </row>
    <row r="233" spans="1:21" customFormat="1" ht="14">
      <c r="A233" s="66"/>
      <c r="B233" s="3" t="s">
        <v>16</v>
      </c>
      <c r="C233" s="153" t="s">
        <v>6</v>
      </c>
      <c r="D233" s="59">
        <v>11.599999999999994</v>
      </c>
      <c r="E233" s="5">
        <v>7</v>
      </c>
      <c r="F233" s="5">
        <v>1.7999999999999972</v>
      </c>
      <c r="G233" s="5">
        <v>-0.7</v>
      </c>
      <c r="H233" s="59">
        <v>-1.2</v>
      </c>
      <c r="I233" s="59">
        <f>'[1]ÜDM sahələr üzrə'!AC257</f>
        <v>3.7</v>
      </c>
      <c r="J233" s="5">
        <f>'[1]ÜDM sahələr üzrə'!AD257</f>
        <v>5.96</v>
      </c>
      <c r="K233" s="6">
        <f>'[1]ÜDM sahələr üzrə'!AE257</f>
        <v>-4.5</v>
      </c>
      <c r="L233" s="5">
        <f>'[1]ÜDM sahələr üzrə'!AF257</f>
        <v>13.601000000000001</v>
      </c>
      <c r="M233" s="5">
        <f>'[1]ÜDM sahələr üzrə'!AG257</f>
        <v>8.6999999999999993</v>
      </c>
      <c r="N233" s="5">
        <f>'[1]ÜDM sahələr üzrə'!AH257</f>
        <v>15.9</v>
      </c>
      <c r="O233" s="5">
        <f>'[1]ÜDM sahələr üzrə'!AI257</f>
        <v>2.7</v>
      </c>
      <c r="P233" s="59">
        <f>'[1]ÜDM sahələr üzrə'!AJ257</f>
        <v>7.3515179207777095</v>
      </c>
      <c r="Q233" s="5">
        <f>'[1]ÜDM sahələr üzrə'!AK257</f>
        <v>1.8173606686720234</v>
      </c>
      <c r="R233" s="5">
        <f>'[1]ÜDM sahələr üzrə'!AL257</f>
        <v>3.5482633102103591</v>
      </c>
      <c r="S233" s="5">
        <f>'[1]ÜDM sahələr üzrə'!AM257</f>
        <v>2.9226026471204563</v>
      </c>
      <c r="T233" s="6">
        <f>'[1]ÜDM sahələr üzrə'!AN257</f>
        <v>2.4880046589119473</v>
      </c>
      <c r="U233" s="6">
        <f>'[1]ÜDM sahələr üzrə'!AO257</f>
        <v>-10.588287466798548</v>
      </c>
    </row>
    <row r="234" spans="1:21" customFormat="1" ht="14">
      <c r="A234" s="67"/>
      <c r="B234" s="8" t="s">
        <v>56</v>
      </c>
      <c r="C234" s="154" t="s">
        <v>6</v>
      </c>
      <c r="D234" s="60">
        <v>23.123415343529217</v>
      </c>
      <c r="E234" s="10">
        <v>-6.6446443776480635</v>
      </c>
      <c r="F234" s="10">
        <v>0.93695343933255515</v>
      </c>
      <c r="G234" s="10">
        <v>14.645511052402412</v>
      </c>
      <c r="H234" s="60">
        <v>27.561741366097266</v>
      </c>
      <c r="I234" s="60">
        <f>'[1]ÜDM sahələr üzrə'!AC258</f>
        <v>4.6955636961486107</v>
      </c>
      <c r="J234" s="10">
        <f>'[1]ÜDM sahələr üzrə'!AD258</f>
        <v>-3.0985909654204562</v>
      </c>
      <c r="K234" s="11">
        <f>'[1]ÜDM sahələr üzrə'!AE258</f>
        <v>16.051180110311634</v>
      </c>
      <c r="L234" s="10">
        <f>'[1]ÜDM sahələr üzrə'!AF258</f>
        <v>22.749900613461733</v>
      </c>
      <c r="M234" s="10">
        <f>'[1]ÜDM sahələr üzrə'!AG258</f>
        <v>-4.4622990166898546</v>
      </c>
      <c r="N234" s="10">
        <f>'[1]ÜDM sahələr üzrə'!AH258</f>
        <v>-2.5068286545834439</v>
      </c>
      <c r="O234" s="10">
        <f>'[1]ÜDM sahələr üzrə'!AI258</f>
        <v>0.92414502498159834</v>
      </c>
      <c r="P234" s="60">
        <f>'[1]ÜDM sahələr üzrə'!AJ258</f>
        <v>-3.2231371569833698</v>
      </c>
      <c r="Q234" s="10">
        <f>'[1]ÜDM sahələr üzrə'!AK258</f>
        <v>0</v>
      </c>
      <c r="R234" s="10">
        <f>'[1]ÜDM sahələr üzrə'!AL258</f>
        <v>0</v>
      </c>
      <c r="S234" s="10">
        <f>'[1]ÜDM sahələr üzrə'!AM258</f>
        <v>0</v>
      </c>
      <c r="T234" s="11">
        <f>'[1]ÜDM sahələr üzrə'!AN258</f>
        <v>0</v>
      </c>
      <c r="U234" s="11">
        <f>'[1]ÜDM sahələr üzrə'!AO258</f>
        <v>0</v>
      </c>
    </row>
    <row r="235" spans="1:21" customFormat="1" ht="14">
      <c r="A235" s="117" t="s">
        <v>38</v>
      </c>
      <c r="B235" s="108" t="s">
        <v>124</v>
      </c>
      <c r="C235" s="152"/>
      <c r="D235" s="120"/>
      <c r="E235" s="123"/>
      <c r="F235" s="123"/>
      <c r="G235" s="123"/>
      <c r="H235" s="120"/>
      <c r="I235" s="120"/>
      <c r="J235" s="123"/>
      <c r="K235" s="124"/>
      <c r="L235" s="123"/>
      <c r="M235" s="123"/>
      <c r="N235" s="123"/>
      <c r="O235" s="123"/>
      <c r="P235" s="120"/>
      <c r="Q235" s="123"/>
      <c r="R235" s="123"/>
      <c r="S235" s="123"/>
      <c r="T235" s="124"/>
      <c r="U235" s="124"/>
    </row>
    <row r="236" spans="1:21" customFormat="1" ht="14">
      <c r="A236" s="66" t="s">
        <v>67</v>
      </c>
      <c r="B236" s="4" t="s">
        <v>68</v>
      </c>
      <c r="C236" s="153" t="s">
        <v>12</v>
      </c>
      <c r="D236" s="59">
        <v>14442.2</v>
      </c>
      <c r="E236" s="5">
        <v>15777.4</v>
      </c>
      <c r="F236" s="5">
        <v>13917.7</v>
      </c>
      <c r="G236" s="5">
        <v>13691</v>
      </c>
      <c r="H236" s="59">
        <v>14605.4</v>
      </c>
      <c r="I236" s="59">
        <f>'[1]ÜDM sahələr üzrə'!AC269</f>
        <v>13773</v>
      </c>
      <c r="J236" s="5">
        <f>'[1]ÜDM sahələr üzrə'!AD269</f>
        <v>14052.5</v>
      </c>
      <c r="K236" s="6">
        <f>'[1]ÜDM sahələr üzrə'!AE269</f>
        <v>12996.5</v>
      </c>
      <c r="L236" s="5">
        <f>'[1]ÜDM sahələr üzrə'!AF269</f>
        <v>13063.8</v>
      </c>
      <c r="M236" s="5">
        <f>'[1]ÜDM sahələr üzrə'!AG269</f>
        <v>15214.3</v>
      </c>
      <c r="N236" s="5">
        <f>'[1]ÜDM sahələr üzrə'!AH269</f>
        <v>18045.900000000001</v>
      </c>
      <c r="O236" s="5">
        <f>'[1]ÜDM sahələr üzrə'!AI269</f>
        <v>20042.7</v>
      </c>
      <c r="P236" s="59">
        <f>'[1]ÜDM sahələr üzrə'!AJ269</f>
        <v>21581.998778770023</v>
      </c>
      <c r="Q236" s="5">
        <f>'[1]ÜDM sahələr üzrə'!AK269</f>
        <v>23027.40114728122</v>
      </c>
      <c r="R236" s="5">
        <f>'[1]ÜDM sahələr üzrə'!AL269</f>
        <v>25167.445719423366</v>
      </c>
      <c r="S236" s="5">
        <f>'[1]ÜDM sahələr üzrə'!AM269</f>
        <v>26576.586459884744</v>
      </c>
      <c r="T236" s="6">
        <f>'[1]ÜDM sahələr üzrə'!AN269</f>
        <v>27609.622862547974</v>
      </c>
      <c r="U236" s="6">
        <f>'[1]ÜDM sahələr üzrə'!AO269</f>
        <v>26710.266783012481</v>
      </c>
    </row>
    <row r="237" spans="1:21" customFormat="1" ht="14">
      <c r="A237" s="66" t="s">
        <v>69</v>
      </c>
      <c r="B237" s="4" t="s">
        <v>70</v>
      </c>
      <c r="C237" s="153" t="s">
        <v>12</v>
      </c>
      <c r="D237" s="59">
        <v>7688.5</v>
      </c>
      <c r="E237" s="5">
        <v>8323</v>
      </c>
      <c r="F237" s="5">
        <v>7418.2000000000007</v>
      </c>
      <c r="G237" s="5">
        <v>7352.1</v>
      </c>
      <c r="H237" s="59">
        <v>7854.8</v>
      </c>
      <c r="I237" s="59">
        <f>'[1]ÜDM sahələr üzrə'!AC270</f>
        <v>7589.6</v>
      </c>
      <c r="J237" s="5">
        <f>'[1]ÜDM sahələr üzrə'!AD270</f>
        <v>7953.7</v>
      </c>
      <c r="K237" s="6">
        <f>'[1]ÜDM sahələr üzrə'!AE270</f>
        <v>7278</v>
      </c>
      <c r="L237" s="5">
        <f>'[1]ÜDM sahələr üzrə'!AF270</f>
        <v>7520.4099999999989</v>
      </c>
      <c r="M237" s="5">
        <f>'[1]ÜDM sahələr üzrə'!AG270</f>
        <v>8725.6</v>
      </c>
      <c r="N237" s="5">
        <f>'[1]ÜDM sahələr üzrə'!AH270</f>
        <v>10412.500000000002</v>
      </c>
      <c r="O237" s="5">
        <f>'[1]ÜDM sahələr üzrə'!AI270</f>
        <v>11564.6</v>
      </c>
      <c r="P237" s="59">
        <f>'[1]ÜDM sahələr üzrə'!AJ270</f>
        <v>12452.772484593583</v>
      </c>
      <c r="Q237" s="5">
        <f>'[1]ÜDM sahələr üzrə'!AK270</f>
        <v>13286.766918022442</v>
      </c>
      <c r="R237" s="5">
        <f>'[1]ÜDM sahələr üzrə'!AL270</f>
        <v>14521.568589403796</v>
      </c>
      <c r="S237" s="5">
        <f>'[1]ÜDM sahələr üzrə'!AM270</f>
        <v>15334.640132017297</v>
      </c>
      <c r="T237" s="6">
        <f>'[1]ÜDM sahələr üzrə'!AN270</f>
        <v>15930.70018292058</v>
      </c>
      <c r="U237" s="6">
        <f>'[1]ÜDM sahələr üzrə'!AO270</f>
        <v>15411.773425677486</v>
      </c>
    </row>
    <row r="238" spans="1:21" customFormat="1" ht="14">
      <c r="A238" s="66" t="s">
        <v>71</v>
      </c>
      <c r="B238" s="4" t="s">
        <v>72</v>
      </c>
      <c r="C238" s="153" t="s">
        <v>12</v>
      </c>
      <c r="D238" s="59">
        <v>6753.7</v>
      </c>
      <c r="E238" s="5">
        <v>7454.4</v>
      </c>
      <c r="F238" s="5">
        <v>6499.5</v>
      </c>
      <c r="G238" s="5">
        <v>6338.9</v>
      </c>
      <c r="H238" s="59">
        <v>6750.62</v>
      </c>
      <c r="I238" s="59">
        <f>'[1]ÜDM sahələr üzrə'!AC271</f>
        <v>6183.4</v>
      </c>
      <c r="J238" s="5">
        <f>'[1]ÜDM sahələr üzrə'!AD271</f>
        <v>6098.8</v>
      </c>
      <c r="K238" s="6">
        <f>'[1]ÜDM sahələr üzrə'!AE271</f>
        <v>5718.5</v>
      </c>
      <c r="L238" s="5">
        <f>'[1]ÜDM sahələr üzrə'!AF271</f>
        <v>5543.39</v>
      </c>
      <c r="M238" s="5">
        <f>'[1]ÜDM sahələr üzrə'!AG271</f>
        <v>6488.6999999999989</v>
      </c>
      <c r="N238" s="5">
        <f>'[1]ÜDM sahələr üzrə'!AH271</f>
        <v>7633.4</v>
      </c>
      <c r="O238" s="5">
        <f>'[1]ÜDM sahələr üzrə'!AI271</f>
        <v>8478.1</v>
      </c>
      <c r="P238" s="59">
        <f>'[1]ÜDM sahələr üzrə'!AJ271</f>
        <v>9129.2262941764402</v>
      </c>
      <c r="Q238" s="5">
        <f>'[1]ÜDM sahələr üzrə'!AK271</f>
        <v>9740.6342292587779</v>
      </c>
      <c r="R238" s="5">
        <f>'[1]ÜDM sahələr üzrə'!AL271</f>
        <v>10645.877130019569</v>
      </c>
      <c r="S238" s="5">
        <f>'[1]ÜDM sahələr üzrə'!AM271</f>
        <v>11241.946327867447</v>
      </c>
      <c r="T238" s="6">
        <f>'[1]ÜDM sahələr üzrə'!AN271</f>
        <v>11678.922679627394</v>
      </c>
      <c r="U238" s="6">
        <f>'[1]ÜDM sahələr üzrə'!AO271</f>
        <v>11298.493357334995</v>
      </c>
    </row>
    <row r="239" spans="1:21" customFormat="1" ht="14">
      <c r="A239" s="66"/>
      <c r="B239" s="4" t="s">
        <v>73</v>
      </c>
      <c r="C239" s="153" t="s">
        <v>6</v>
      </c>
      <c r="D239" s="59">
        <v>46.763650967304152</v>
      </c>
      <c r="E239" s="5">
        <v>47.247328457160243</v>
      </c>
      <c r="F239" s="5">
        <v>46.69952650222379</v>
      </c>
      <c r="G239" s="5">
        <v>46.299758965743912</v>
      </c>
      <c r="H239" s="59">
        <v>46.220028208744715</v>
      </c>
      <c r="I239" s="59">
        <f>'[1]ÜDM sahələr üzrə'!AC272</f>
        <v>44.895084585783778</v>
      </c>
      <c r="J239" s="5">
        <f>'[1]ÜDM sahələr üzrə'!AD272</f>
        <v>43.400106742572497</v>
      </c>
      <c r="K239" s="6">
        <f>'[1]ÜDM sahələr üzrə'!AE272</f>
        <v>44.000307775170242</v>
      </c>
      <c r="L239" s="5">
        <f>'[1]ÜDM sahələr üzrə'!AF272</f>
        <v>42.43321238843216</v>
      </c>
      <c r="M239" s="5">
        <f>'[1]ÜDM sahələr üzrə'!AG272</f>
        <v>42.648692348645682</v>
      </c>
      <c r="N239" s="5">
        <f>'[1]ÜDM sahələr üzrə'!AH272</f>
        <v>42.299912999628717</v>
      </c>
      <c r="O239" s="5">
        <f>'[1]ÜDM sahələr üzrə'!AI272</f>
        <v>42.300189096279446</v>
      </c>
      <c r="P239" s="59">
        <f>'[1]ÜDM sahələr üzrə'!AJ272</f>
        <v>42.300189096279446</v>
      </c>
      <c r="Q239" s="5">
        <f>'[1]ÜDM sahələr üzrə'!AK272</f>
        <v>42.300189096279446</v>
      </c>
      <c r="R239" s="5">
        <f>'[1]ÜDM sahələr üzrə'!AL272</f>
        <v>42.300189096279446</v>
      </c>
      <c r="S239" s="5">
        <f>'[1]ÜDM sahələr üzrə'!AM272</f>
        <v>42.300189096279446</v>
      </c>
      <c r="T239" s="6">
        <f>'[1]ÜDM sahələr üzrə'!AN272</f>
        <v>42.300189096279446</v>
      </c>
      <c r="U239" s="6">
        <f>'[1]ÜDM sahələr üzrə'!AO272</f>
        <v>42.300189096279446</v>
      </c>
    </row>
    <row r="240" spans="1:21" customFormat="1" ht="14">
      <c r="A240" s="66"/>
      <c r="B240" s="3" t="s">
        <v>16</v>
      </c>
      <c r="C240" s="153" t="s">
        <v>6</v>
      </c>
      <c r="D240" s="59">
        <v>21.25</v>
      </c>
      <c r="E240" s="5">
        <v>8.7999999999999972</v>
      </c>
      <c r="F240" s="5">
        <v>-13.4</v>
      </c>
      <c r="G240" s="5">
        <v>-22.6</v>
      </c>
      <c r="H240" s="59">
        <v>0.2</v>
      </c>
      <c r="I240" s="59">
        <f>'[1]ÜDM sahələr üzrə'!AC273</f>
        <v>-8.8000000000000007</v>
      </c>
      <c r="J240" s="5">
        <f>'[1]ÜDM sahələr üzrə'!AD273</f>
        <v>-2.8</v>
      </c>
      <c r="K240" s="6">
        <f>'[1]ÜDM sahələr üzrə'!AE273</f>
        <v>-7.7</v>
      </c>
      <c r="L240" s="5">
        <f>'[1]ÜDM sahələr üzrə'!AF273</f>
        <v>-1.6359999999999999</v>
      </c>
      <c r="M240" s="5">
        <f>'[1]ÜDM sahələr üzrə'!AG273</f>
        <v>13.2</v>
      </c>
      <c r="N240" s="5">
        <f>'[1]ÜDM sahələr üzrə'!AH273</f>
        <v>14.6</v>
      </c>
      <c r="O240" s="5">
        <f>'[1]ÜDM sahələr üzrə'!AI273</f>
        <v>9.6</v>
      </c>
      <c r="P240" s="59">
        <f>'[1]ÜDM sahələr üzrə'!AJ273</f>
        <v>5.8321599020684403</v>
      </c>
      <c r="Q240" s="5">
        <f>'[1]ÜDM sahələr üzrə'!AK273</f>
        <v>6.7448197794051765</v>
      </c>
      <c r="R240" s="5">
        <f>'[1]ÜDM sahələr üzrə'!AL273</f>
        <v>4.262559398006303</v>
      </c>
      <c r="S240" s="5">
        <f>'[1]ÜDM sahələr üzrə'!AM273</f>
        <v>1.7812148251281457</v>
      </c>
      <c r="T240" s="6">
        <f>'[1]ÜDM sahələr üzrə'!AN273</f>
        <v>-0.10162992931483927</v>
      </c>
      <c r="U240" s="6">
        <f>'[1]ÜDM sahələr üzrə'!AO273</f>
        <v>-6.8641011830996206</v>
      </c>
    </row>
    <row r="241" spans="1:21" customFormat="1" ht="14">
      <c r="A241" s="67"/>
      <c r="B241" s="8" t="s">
        <v>56</v>
      </c>
      <c r="C241" s="154" t="s">
        <v>6</v>
      </c>
      <c r="D241" s="60">
        <v>1.1285944855589776</v>
      </c>
      <c r="E241" s="10">
        <v>1.4476596270976358</v>
      </c>
      <c r="F241" s="10">
        <v>0.68142714168656937</v>
      </c>
      <c r="G241" s="10">
        <v>26.006512526405828</v>
      </c>
      <c r="H241" s="60">
        <v>6.2825680888298336</v>
      </c>
      <c r="I241" s="60">
        <f>'[1]ÜDM sahələr üzrə'!AC276</f>
        <v>0.43616655777445601</v>
      </c>
      <c r="J241" s="10">
        <f>'[1]ÜDM sahələr üzrə'!AD276</f>
        <v>1.4730665444224798</v>
      </c>
      <c r="K241" s="11">
        <f>'[1]ÜDM sahələr üzrə'!AE276</f>
        <v>1.5865082174132112</v>
      </c>
      <c r="L241" s="10">
        <f>'[1]ÜDM sahələr üzrə'!AF276</f>
        <v>-1.4498868001444407</v>
      </c>
      <c r="M241" s="10">
        <f>'[1]ÜDM sahələr üzrə'!AG276</f>
        <v>3.4036417753249566</v>
      </c>
      <c r="N241" s="10">
        <f>'[1]ÜDM sahələr üzrə'!AH276</f>
        <v>2.6539600284032616</v>
      </c>
      <c r="O241" s="10">
        <f>'[1]ÜDM sahələr üzrə'!AI276</f>
        <v>1.3374472807651756</v>
      </c>
      <c r="P241" s="60">
        <f>'[1]ÜDM sahələr üzrə'!AJ276</f>
        <v>1.7461015504530337</v>
      </c>
      <c r="Q241" s="10">
        <f>'[1]ÜDM sahələr üzrə'!AK276</f>
        <v>-4.4555529381327119E-2</v>
      </c>
      <c r="R241" s="10">
        <f>'[1]ÜDM sahələr üzrə'!AL276</f>
        <v>4.8252320243167333</v>
      </c>
      <c r="S241" s="10">
        <f>'[1]ÜDM sahələr üzrə'!AM276</f>
        <v>3.7510326327502952</v>
      </c>
      <c r="T241" s="11">
        <f>'[1]ÜDM sahələr üzrə'!AN276</f>
        <v>3.9927045953324267</v>
      </c>
      <c r="U241" s="11">
        <f>'[1]ÜDM sahələr üzrə'!AO276</f>
        <v>3.872513623764732</v>
      </c>
    </row>
    <row r="242" spans="1:21" customFormat="1" ht="28">
      <c r="A242" s="117" t="s">
        <v>125</v>
      </c>
      <c r="B242" s="108" t="s">
        <v>126</v>
      </c>
      <c r="C242" s="152"/>
      <c r="D242" s="120"/>
      <c r="E242" s="123"/>
      <c r="F242" s="123"/>
      <c r="G242" s="123"/>
      <c r="H242" s="120"/>
      <c r="I242" s="120"/>
      <c r="J242" s="123"/>
      <c r="K242" s="124"/>
      <c r="L242" s="123"/>
      <c r="M242" s="123"/>
      <c r="N242" s="123"/>
      <c r="O242" s="123"/>
      <c r="P242" s="120"/>
      <c r="Q242" s="123"/>
      <c r="R242" s="123"/>
      <c r="S242" s="123"/>
      <c r="T242" s="124"/>
      <c r="U242" s="124"/>
    </row>
    <row r="243" spans="1:21" customFormat="1" ht="14">
      <c r="A243" s="66" t="s">
        <v>67</v>
      </c>
      <c r="B243" s="4" t="s">
        <v>68</v>
      </c>
      <c r="C243" s="153" t="s">
        <v>12</v>
      </c>
      <c r="D243" s="59">
        <v>6392.7</v>
      </c>
      <c r="E243" s="5">
        <v>7174.2</v>
      </c>
      <c r="F243" s="5">
        <v>8336.2999999999993</v>
      </c>
      <c r="G243" s="5">
        <v>9707.7000000000007</v>
      </c>
      <c r="H243" s="59">
        <v>11285.4</v>
      </c>
      <c r="I243" s="59">
        <f>'[1]ÜDM sahələr üzrə'!AC287</f>
        <v>11875</v>
      </c>
      <c r="J243" s="5">
        <f>'[1]ÜDM sahələr üzrə'!AD287</f>
        <v>12693.5</v>
      </c>
      <c r="K243" s="6">
        <f>'[1]ÜDM sahələr üzrə'!AE287</f>
        <v>12918.399999999998</v>
      </c>
      <c r="L243" s="5">
        <f>'[1]ÜDM sahələr üzrə'!AF287</f>
        <v>14458.9</v>
      </c>
      <c r="M243" s="5">
        <f>'[1]ÜDM sahələr üzrə'!AG287</f>
        <v>17118.900000000001</v>
      </c>
      <c r="N243" s="5">
        <f>'[1]ÜDM sahələr üzrə'!AH287</f>
        <v>19833.400000000001</v>
      </c>
      <c r="O243" s="5">
        <f>'[1]ÜDM sahələr üzrə'!AI287</f>
        <v>20861.8</v>
      </c>
      <c r="P243" s="59">
        <f>'[1]ÜDM sahələr üzrə'!AJ287</f>
        <v>22234.881563741183</v>
      </c>
      <c r="Q243" s="5">
        <f>'[1]ÜDM sahələr üzrə'!AK287</f>
        <v>23963.516379756016</v>
      </c>
      <c r="R243" s="5">
        <f>'[1]ÜDM sahələr üzrə'!AL287</f>
        <v>26403.038432781814</v>
      </c>
      <c r="S243" s="5">
        <f>'[1]ÜDM sahələr üzrə'!AM287</f>
        <v>29445.612367790694</v>
      </c>
      <c r="T243" s="6">
        <f>'[1]ÜDM sahələr üzrə'!AN287</f>
        <v>32969.338784614432</v>
      </c>
      <c r="U243" s="6">
        <f>'[1]ÜDM sahələr üzrə'!AO287</f>
        <v>36726.666385627796</v>
      </c>
    </row>
    <row r="244" spans="1:21" customFormat="1" ht="14">
      <c r="A244" s="66" t="s">
        <v>69</v>
      </c>
      <c r="B244" s="4" t="s">
        <v>70</v>
      </c>
      <c r="C244" s="153" t="s">
        <v>12</v>
      </c>
      <c r="D244" s="59">
        <v>2243.8000000000002</v>
      </c>
      <c r="E244" s="5">
        <v>2522.1999999999998</v>
      </c>
      <c r="F244" s="5">
        <v>2948.4999999999991</v>
      </c>
      <c r="G244" s="5">
        <v>3455.9000000000005</v>
      </c>
      <c r="H244" s="59">
        <v>3994.9799999999996</v>
      </c>
      <c r="I244" s="59">
        <f>'[1]ÜDM sahələr üzrə'!AC288</f>
        <v>4207.8999999999996</v>
      </c>
      <c r="J244" s="5">
        <f>'[1]ÜDM sahələr üzrə'!AD288</f>
        <v>4507.6000000000004</v>
      </c>
      <c r="K244" s="6">
        <f>'[1]ÜDM sahələr üzrə'!AE288</f>
        <v>4551.8999999999978</v>
      </c>
      <c r="L244" s="5">
        <f>'[1]ÜDM sahələr üzrə'!AF288</f>
        <v>5118.5200000000004</v>
      </c>
      <c r="M244" s="5">
        <f>'[1]ÜDM sahələr üzrə'!AG288</f>
        <v>6166.6</v>
      </c>
      <c r="N244" s="5">
        <f>'[1]ÜDM sahələr üzrə'!AH288</f>
        <v>6986.9000000000015</v>
      </c>
      <c r="O244" s="5">
        <f>'[1]ÜDM sahələr üzrə'!AI288</f>
        <v>7349.1999999999989</v>
      </c>
      <c r="P244" s="59">
        <f>'[1]ÜDM sahələr üzrə'!AJ288</f>
        <v>7832.9095086831767</v>
      </c>
      <c r="Q244" s="5">
        <f>'[1]ÜDM sahələr üzrə'!AK288</f>
        <v>8441.8734039298106</v>
      </c>
      <c r="R244" s="5">
        <f>'[1]ÜDM sahələr üzrə'!AL288</f>
        <v>9301.2688286820958</v>
      </c>
      <c r="S244" s="5">
        <f>'[1]ÜDM sahələr üzrə'!AM288</f>
        <v>10373.107517729408</v>
      </c>
      <c r="T244" s="6">
        <f>'[1]ÜDM sahələr üzrə'!AN288</f>
        <v>11614.44672060361</v>
      </c>
      <c r="U244" s="6">
        <f>'[1]ÜDM sahələr üzrə'!AO288</f>
        <v>12938.079005706881</v>
      </c>
    </row>
    <row r="245" spans="1:21" customFormat="1" ht="14">
      <c r="A245" s="66" t="s">
        <v>71</v>
      </c>
      <c r="B245" s="4" t="s">
        <v>72</v>
      </c>
      <c r="C245" s="153" t="s">
        <v>12</v>
      </c>
      <c r="D245" s="59">
        <v>4148.8999999999996</v>
      </c>
      <c r="E245" s="5">
        <v>4652</v>
      </c>
      <c r="F245" s="5">
        <v>5387.8</v>
      </c>
      <c r="G245" s="5">
        <v>6251.8</v>
      </c>
      <c r="H245" s="59">
        <v>7290.42</v>
      </c>
      <c r="I245" s="59">
        <f>'[1]ÜDM sahələr üzrə'!AC289</f>
        <v>7667.1</v>
      </c>
      <c r="J245" s="5">
        <f>'[1]ÜDM sahələr üzrə'!AD289</f>
        <v>8185.9</v>
      </c>
      <c r="K245" s="6">
        <f>'[1]ÜDM sahələr üzrə'!AE289</f>
        <v>8366.5</v>
      </c>
      <c r="L245" s="5">
        <f>'[1]ÜDM sahələr üzrə'!AF289</f>
        <v>9340.3799999999992</v>
      </c>
      <c r="M245" s="5">
        <f>'[1]ÜDM sahələr üzrə'!AG289</f>
        <v>10952.300000000001</v>
      </c>
      <c r="N245" s="5">
        <f>'[1]ÜDM sahələr üzrə'!AH289</f>
        <v>12846.5</v>
      </c>
      <c r="O245" s="5">
        <f>'[1]ÜDM sahələr üzrə'!AI289</f>
        <v>13512.6</v>
      </c>
      <c r="P245" s="59">
        <f>'[1]ÜDM sahələr üzrə'!AJ289</f>
        <v>14401.972055058006</v>
      </c>
      <c r="Q245" s="5">
        <f>'[1]ÜDM sahələr üzrə'!AK289</f>
        <v>15521.642975826206</v>
      </c>
      <c r="R245" s="5">
        <f>'[1]ÜDM sahələr üzrə'!AL289</f>
        <v>17101.769604099718</v>
      </c>
      <c r="S245" s="5">
        <f>'[1]ÜDM sahələr üzrə'!AM289</f>
        <v>19072.504850061287</v>
      </c>
      <c r="T245" s="6">
        <f>'[1]ÜDM sahələr üzrə'!AN289</f>
        <v>21354.892064010823</v>
      </c>
      <c r="U245" s="6">
        <f>'[1]ÜDM sahələr üzrə'!AO289</f>
        <v>23788.587379920915</v>
      </c>
    </row>
    <row r="246" spans="1:21" customFormat="1" ht="14">
      <c r="A246" s="66"/>
      <c r="B246" s="4" t="s">
        <v>73</v>
      </c>
      <c r="C246" s="153" t="s">
        <v>6</v>
      </c>
      <c r="D246" s="59">
        <v>64.900589735166676</v>
      </c>
      <c r="E246" s="5">
        <v>64.843466867385914</v>
      </c>
      <c r="F246" s="5">
        <v>64.630591509422658</v>
      </c>
      <c r="G246" s="5">
        <v>64.400424405368923</v>
      </c>
      <c r="H246" s="59">
        <v>64.600457227922803</v>
      </c>
      <c r="I246" s="59">
        <f>'[1]ÜDM sahələr üzrə'!AC290</f>
        <v>64.565052631578951</v>
      </c>
      <c r="J246" s="5">
        <f>'[1]ÜDM sahələr üzrə'!AD290</f>
        <v>64.488911647693698</v>
      </c>
      <c r="K246" s="6">
        <f>'[1]ÜDM sahələr üzrə'!AE290</f>
        <v>64.764212286351267</v>
      </c>
      <c r="L246" s="5">
        <f>'[1]ÜDM sahələr üzrə'!AF290</f>
        <v>64.599520018811944</v>
      </c>
      <c r="M246" s="5">
        <f>'[1]ÜDM sahələr üzrə'!AG290</f>
        <v>63.977825678051744</v>
      </c>
      <c r="N246" s="5">
        <f>'[1]ÜDM sahələr üzrə'!AH290</f>
        <v>64.772051186382555</v>
      </c>
      <c r="O246" s="5">
        <f>'[1]ÜDM sahələr üzrə'!AI290</f>
        <v>64.771975572577631</v>
      </c>
      <c r="P246" s="59">
        <f>'[1]ÜDM sahələr üzrə'!AJ290</f>
        <v>64.771975572577631</v>
      </c>
      <c r="Q246" s="5">
        <f>'[1]ÜDM sahələr üzrə'!AK290</f>
        <v>64.771975572577631</v>
      </c>
      <c r="R246" s="5">
        <f>'[1]ÜDM sahələr üzrə'!AL290</f>
        <v>64.771975572577631</v>
      </c>
      <c r="S246" s="5">
        <f>'[1]ÜDM sahələr üzrə'!AM290</f>
        <v>64.771975572577631</v>
      </c>
      <c r="T246" s="6">
        <f>'[1]ÜDM sahələr üzrə'!AN290</f>
        <v>64.771975572577631</v>
      </c>
      <c r="U246" s="6">
        <f>'[1]ÜDM sahələr üzrə'!AO290</f>
        <v>64.771975572577631</v>
      </c>
    </row>
    <row r="247" spans="1:21" customFormat="1" ht="14">
      <c r="A247" s="66"/>
      <c r="B247" s="3" t="s">
        <v>16</v>
      </c>
      <c r="C247" s="153" t="s">
        <v>6</v>
      </c>
      <c r="D247" s="59">
        <v>9.85</v>
      </c>
      <c r="E247" s="5">
        <v>10</v>
      </c>
      <c r="F247" s="5">
        <v>10.900000000000006</v>
      </c>
      <c r="G247" s="5">
        <v>1.5</v>
      </c>
      <c r="H247" s="59">
        <v>2.516</v>
      </c>
      <c r="I247" s="59">
        <f>'[1]ÜDM sahələr üzrə'!AC291</f>
        <v>3</v>
      </c>
      <c r="J247" s="5">
        <f>'[1]ÜDM sahələr üzrə'!AD291</f>
        <v>3.6</v>
      </c>
      <c r="K247" s="6">
        <f>'[1]ÜDM sahələr üzrə'!AE291</f>
        <v>-1.3</v>
      </c>
      <c r="L247" s="5">
        <f>'[1]ÜDM sahələr üzrə'!AF291</f>
        <v>4.9000000000000004</v>
      </c>
      <c r="M247" s="5">
        <f>'[1]ÜDM sahələr üzrə'!AG291</f>
        <v>3.24</v>
      </c>
      <c r="N247" s="5">
        <f>'[1]ÜDM sahələr üzrə'!AH291</f>
        <v>3.5</v>
      </c>
      <c r="O247" s="5">
        <f>'[1]ÜDM sahələr üzrə'!AI291</f>
        <v>3.8</v>
      </c>
      <c r="P247" s="59">
        <f>'[1]ÜDM sahələr üzrə'!AJ291</f>
        <v>4.7566522596774092</v>
      </c>
      <c r="Q247" s="5">
        <f>'[1]ÜDM sahələr üzrə'!AK291</f>
        <v>4.9226593681999304</v>
      </c>
      <c r="R247" s="5">
        <f>'[1]ÜDM sahələr üzrə'!AL291</f>
        <v>4.8682511841386997</v>
      </c>
      <c r="S247" s="5">
        <f>'[1]ÜDM sahələr üzrə'!AM291</f>
        <v>4.5186371219336792</v>
      </c>
      <c r="T247" s="6">
        <f>'[1]ÜDM sahələr üzrə'!AN291</f>
        <v>4.5772553803407448</v>
      </c>
      <c r="U247" s="6">
        <f>'[1]ÜDM sahələr üzrə'!AO291</f>
        <v>3.9111247238281948</v>
      </c>
    </row>
    <row r="248" spans="1:21" customFormat="1" ht="14">
      <c r="A248" s="67"/>
      <c r="B248" s="8" t="s">
        <v>56</v>
      </c>
      <c r="C248" s="154" t="s">
        <v>6</v>
      </c>
      <c r="D248" s="60">
        <v>3.3628232159144176</v>
      </c>
      <c r="E248" s="10">
        <v>1.9328233770615952</v>
      </c>
      <c r="F248" s="10">
        <v>4.4335914936573886</v>
      </c>
      <c r="G248" s="10">
        <v>14.321408868092249</v>
      </c>
      <c r="H248" s="60">
        <v>13.751156323890797</v>
      </c>
      <c r="I248" s="59">
        <f>'[1]ÜDM sahələr üzrə'!AC294</f>
        <v>2.1039505070639564</v>
      </c>
      <c r="J248" s="10">
        <f>'[1]ÜDM sahələr üzrə'!AD294</f>
        <v>3.0565386710474058</v>
      </c>
      <c r="K248" s="11">
        <f>'[1]ÜDM sahələr üzrə'!AE294</f>
        <v>3.5524140510322155</v>
      </c>
      <c r="L248" s="10">
        <f>'[1]ÜDM sahələr üzrə'!AF294</f>
        <v>6.4253878714290096</v>
      </c>
      <c r="M248" s="10">
        <f>'[1]ÜDM sahələr üzrə'!AG294</f>
        <v>13.57762687366646</v>
      </c>
      <c r="N248" s="10">
        <f>'[1]ÜDM sahələr üzrə'!AH294</f>
        <v>13.32849990126266</v>
      </c>
      <c r="O248" s="10">
        <f>'[1]ÜDM sahələr üzrə'!AI294</f>
        <v>1.3343640302378788</v>
      </c>
      <c r="P248" s="60">
        <f>'[1]ÜDM sahələr üzrə'!AJ294</f>
        <v>1.7422720542668912</v>
      </c>
      <c r="Q248" s="10">
        <f>'[1]ÜDM sahələr üzrə'!AK294</f>
        <v>2.7179719422707933</v>
      </c>
      <c r="R248" s="10">
        <f>'[1]ÜDM sahələr üzrə'!AL294</f>
        <v>5.0653075085369039</v>
      </c>
      <c r="S248" s="10">
        <f>'[1]ÜDM sahələr üzrə'!AM294</f>
        <v>6.7020945420822642</v>
      </c>
      <c r="T248" s="11">
        <f>'[1]ÜDM sahələr üzrə'!AN294</f>
        <v>7.0662044612957544</v>
      </c>
      <c r="U248" s="11">
        <f>'[1]ÜDM sahələr üzrə'!AO294</f>
        <v>7.2035648256658931</v>
      </c>
    </row>
    <row r="249" spans="1:21" customFormat="1" ht="28">
      <c r="A249" s="117" t="s">
        <v>127</v>
      </c>
      <c r="B249" s="108" t="s">
        <v>128</v>
      </c>
      <c r="C249" s="152"/>
      <c r="D249" s="120"/>
      <c r="E249" s="123"/>
      <c r="F249" s="123"/>
      <c r="G249" s="123"/>
      <c r="H249" s="120"/>
      <c r="I249" s="204"/>
      <c r="J249" s="123"/>
      <c r="K249" s="124"/>
      <c r="L249" s="123"/>
      <c r="M249" s="123"/>
      <c r="N249" s="123"/>
      <c r="O249" s="123"/>
      <c r="P249" s="120"/>
      <c r="Q249" s="123"/>
      <c r="R249" s="123"/>
      <c r="S249" s="123"/>
      <c r="T249" s="124"/>
      <c r="U249" s="124"/>
    </row>
    <row r="250" spans="1:21" customFormat="1" ht="14">
      <c r="A250" s="66" t="s">
        <v>67</v>
      </c>
      <c r="B250" s="4" t="s">
        <v>68</v>
      </c>
      <c r="C250" s="153" t="s">
        <v>12</v>
      </c>
      <c r="D250" s="59">
        <v>1622.5</v>
      </c>
      <c r="E250" s="5">
        <v>1930.5</v>
      </c>
      <c r="F250" s="5">
        <v>2017.4</v>
      </c>
      <c r="G250" s="5">
        <v>2197.6999999999998</v>
      </c>
      <c r="H250" s="59">
        <v>2566.4</v>
      </c>
      <c r="I250" s="59">
        <f>'[1]ÜDM sahələr üzrə'!AC298</f>
        <v>2828.5</v>
      </c>
      <c r="J250" s="5">
        <f>'[1]ÜDM sahələr üzrə'!AD298</f>
        <v>3046.5</v>
      </c>
      <c r="K250" s="6">
        <f>'[1]ÜDM sahələr üzrə'!AE298</f>
        <v>1274.7</v>
      </c>
      <c r="L250" s="5">
        <f>'[1]ÜDM sahələr üzrə'!AF298</f>
        <v>1770.7</v>
      </c>
      <c r="M250" s="5">
        <f>'[1]ÜDM sahələr üzrə'!AG298</f>
        <v>3031.2</v>
      </c>
      <c r="N250" s="5">
        <f>'[1]ÜDM sahələr üzrə'!AH298</f>
        <v>3984.9</v>
      </c>
      <c r="O250" s="5">
        <f>'[1]ÜDM sahələr üzrə'!AI298</f>
        <v>4599.8</v>
      </c>
      <c r="P250" s="59">
        <f>'[1]ÜDM sahələr üzrə'!AJ298</f>
        <v>5021.5478279824656</v>
      </c>
      <c r="Q250" s="5">
        <f>'[1]ÜDM sahələr üzrə'!AK298</f>
        <v>4379.0190251271024</v>
      </c>
      <c r="R250" s="5">
        <f>'[1]ÜDM sahələr üzrə'!AL298</f>
        <v>3812.3491950117341</v>
      </c>
      <c r="S250" s="5">
        <f>'[1]ÜDM sahələr üzrə'!AM298</f>
        <v>4149.148250377234</v>
      </c>
      <c r="T250" s="6">
        <f>'[1]ÜDM sahələr üzrə'!AN298</f>
        <v>4731.9498483681009</v>
      </c>
      <c r="U250" s="6">
        <f>'[1]ÜDM sahələr üzrə'!AO298</f>
        <v>5399.6549495458466</v>
      </c>
    </row>
    <row r="251" spans="1:21" customFormat="1" ht="14">
      <c r="A251" s="66" t="s">
        <v>69</v>
      </c>
      <c r="B251" s="4" t="s">
        <v>70</v>
      </c>
      <c r="C251" s="153" t="s">
        <v>12</v>
      </c>
      <c r="D251" s="59">
        <v>553.29999999999995</v>
      </c>
      <c r="E251" s="5">
        <v>661.40000000000009</v>
      </c>
      <c r="F251" s="5">
        <v>704.60000000000014</v>
      </c>
      <c r="G251" s="5">
        <v>773.59999999999991</v>
      </c>
      <c r="H251" s="59">
        <v>901.58000000000015</v>
      </c>
      <c r="I251" s="59">
        <f>'[1]ÜDM sahələr üzrə'!AC299</f>
        <v>993.5</v>
      </c>
      <c r="J251" s="5">
        <f>'[1]ÜDM sahələr üzrə'!AD299</f>
        <v>1066.3</v>
      </c>
      <c r="K251" s="6">
        <f>'[1]ÜDM sahələr üzrə'!AE299</f>
        <v>445.5</v>
      </c>
      <c r="L251" s="5">
        <f>'[1]ÜDM sahələr üzrə'!AF299</f>
        <v>594.42000000000007</v>
      </c>
      <c r="M251" s="5">
        <f>'[1]ÜDM sahələr üzrə'!AG299</f>
        <v>995</v>
      </c>
      <c r="N251" s="5">
        <f>'[1]ÜDM sahələr üzrə'!AH299</f>
        <v>1309.4000000000001</v>
      </c>
      <c r="O251" s="5">
        <f>'[1]ÜDM sahələr üzrə'!AI299</f>
        <v>1511.5</v>
      </c>
      <c r="P251" s="59">
        <f>'[1]ÜDM sahələr üzrə'!AJ299</f>
        <v>1650.0868607320963</v>
      </c>
      <c r="Q251" s="5">
        <f>'[1]ÜDM sahələr üzrə'!AK299</f>
        <v>1438.9510971084865</v>
      </c>
      <c r="R251" s="5">
        <f>'[1]ÜDM sahələr üzrə'!AL299</f>
        <v>1252.7426862603234</v>
      </c>
      <c r="S251" s="5">
        <f>'[1]ÜDM sahələr üzrə'!AM299</f>
        <v>1363.4152746739401</v>
      </c>
      <c r="T251" s="6">
        <f>'[1]ÜDM sahələr üzrə'!AN299</f>
        <v>1554.9246045063664</v>
      </c>
      <c r="U251" s="6">
        <f>'[1]ÜDM sahələr üzrə'!AO299</f>
        <v>1774.3333310662524</v>
      </c>
    </row>
    <row r="252" spans="1:21" customFormat="1" ht="14">
      <c r="A252" s="66" t="s">
        <v>71</v>
      </c>
      <c r="B252" s="4" t="s">
        <v>72</v>
      </c>
      <c r="C252" s="153" t="s">
        <v>12</v>
      </c>
      <c r="D252" s="59">
        <v>1069.2</v>
      </c>
      <c r="E252" s="5">
        <v>1269.0999999999999</v>
      </c>
      <c r="F252" s="5">
        <v>1312.8</v>
      </c>
      <c r="G252" s="5">
        <v>1424.1</v>
      </c>
      <c r="H252" s="59">
        <v>1664.82</v>
      </c>
      <c r="I252" s="59">
        <f>'[1]ÜDM sahələr üzrə'!AC300</f>
        <v>1834.2</v>
      </c>
      <c r="J252" s="5">
        <f>'[1]ÜDM sahələr üzrə'!AD300</f>
        <v>1980.2</v>
      </c>
      <c r="K252" s="6">
        <f>'[1]ÜDM sahələr üzrə'!AE300</f>
        <v>829.2</v>
      </c>
      <c r="L252" s="5">
        <f>'[1]ÜDM sahələr üzrə'!AF300</f>
        <v>1176.28</v>
      </c>
      <c r="M252" s="5">
        <f>'[1]ÜDM sahələr üzrə'!AG300</f>
        <v>2036.1999999999998</v>
      </c>
      <c r="N252" s="5">
        <f>'[1]ÜDM sahələr üzrə'!AH300</f>
        <v>2675.5</v>
      </c>
      <c r="O252" s="5">
        <f>'[1]ÜDM sahələr üzrə'!AI300</f>
        <v>3088.3</v>
      </c>
      <c r="P252" s="59">
        <f>'[1]ÜDM sahələr üzrə'!AJ300</f>
        <v>3371.4609672503693</v>
      </c>
      <c r="Q252" s="5">
        <f>'[1]ÜDM sahələr üzrə'!AK300</f>
        <v>2940.0679280186159</v>
      </c>
      <c r="R252" s="5">
        <f>'[1]ÜDM sahələr üzrə'!AL300</f>
        <v>2559.6065087514107</v>
      </c>
      <c r="S252" s="5">
        <f>'[1]ÜDM sahələr üzrə'!AM300</f>
        <v>2785.732975703294</v>
      </c>
      <c r="T252" s="6">
        <f>'[1]ÜDM sahələr üzrə'!AN300</f>
        <v>3177.0252438617345</v>
      </c>
      <c r="U252" s="6">
        <f>'[1]ÜDM sahələr üzrə'!AO300</f>
        <v>3625.3216184795942</v>
      </c>
    </row>
    <row r="253" spans="1:21" customFormat="1" ht="14">
      <c r="A253" s="66"/>
      <c r="B253" s="4" t="s">
        <v>73</v>
      </c>
      <c r="C253" s="153" t="s">
        <v>6</v>
      </c>
      <c r="D253" s="59">
        <v>65.898305084745772</v>
      </c>
      <c r="E253" s="5">
        <v>65.739445739445728</v>
      </c>
      <c r="F253" s="5">
        <v>65.073857440269649</v>
      </c>
      <c r="G253" s="5">
        <v>64.799563179687851</v>
      </c>
      <c r="H253" s="59">
        <v>64.869856608478798</v>
      </c>
      <c r="I253" s="59">
        <f>'[1]ÜDM sahələr üzrə'!AC301</f>
        <v>64.847092098285302</v>
      </c>
      <c r="J253" s="5">
        <f>'[1]ÜDM sahələr üzrə'!AD301</f>
        <v>64.999179386180856</v>
      </c>
      <c r="K253" s="6">
        <f>'[1]ÜDM sahələr üzrə'!AE301</f>
        <v>65.050600141209699</v>
      </c>
      <c r="L253" s="5">
        <f>'[1]ÜDM sahələr üzrə'!AF301</f>
        <v>66.430225334613425</v>
      </c>
      <c r="M253" s="5">
        <f>'[1]ÜDM sahələr üzrə'!AG301</f>
        <v>67.174716283979947</v>
      </c>
      <c r="N253" s="5">
        <f>'[1]ÜDM sahələr üzrə'!AH301</f>
        <v>67.140957113101962</v>
      </c>
      <c r="O253" s="5">
        <f>'[1]ÜDM sahələr üzrə'!AI301</f>
        <v>67.139875646767251</v>
      </c>
      <c r="P253" s="59">
        <f>'[1]ÜDM sahələr üzrə'!AJ301</f>
        <v>67.139875646767251</v>
      </c>
      <c r="Q253" s="5">
        <f>'[1]ÜDM sahələr üzrə'!AK301</f>
        <v>67.139875646767251</v>
      </c>
      <c r="R253" s="5">
        <f>'[1]ÜDM sahələr üzrə'!AL301</f>
        <v>67.139875646767251</v>
      </c>
      <c r="S253" s="5">
        <f>'[1]ÜDM sahələr üzrə'!AM301</f>
        <v>67.139875646767251</v>
      </c>
      <c r="T253" s="6">
        <f>'[1]ÜDM sahələr üzrə'!AN301</f>
        <v>67.139875646767251</v>
      </c>
      <c r="U253" s="6">
        <f>'[1]ÜDM sahələr üzrə'!AO301</f>
        <v>67.139875646767251</v>
      </c>
    </row>
    <row r="254" spans="1:21" customFormat="1" ht="14">
      <c r="A254" s="66"/>
      <c r="B254" s="3" t="s">
        <v>16</v>
      </c>
      <c r="C254" s="153" t="s">
        <v>6</v>
      </c>
      <c r="D254" s="59">
        <v>16</v>
      </c>
      <c r="E254" s="5">
        <v>18.200000000000003</v>
      </c>
      <c r="F254" s="5">
        <v>14</v>
      </c>
      <c r="G254" s="5">
        <v>2.1</v>
      </c>
      <c r="H254" s="59">
        <v>6.9</v>
      </c>
      <c r="I254" s="59">
        <f>'[1]ÜDM sahələr üzrə'!AC302</f>
        <v>7.6</v>
      </c>
      <c r="J254" s="5">
        <f>'[1]ÜDM sahələr üzrə'!AD302</f>
        <v>6.4</v>
      </c>
      <c r="K254" s="6">
        <f>'[1]ÜDM sahələr üzrə'!AE302</f>
        <v>-58.93</v>
      </c>
      <c r="L254" s="5">
        <f>'[1]ÜDM sahələr üzrə'!AF302</f>
        <v>34.020000000000003</v>
      </c>
      <c r="M254" s="5">
        <f>'[1]ÜDM sahələr üzrə'!AG302</f>
        <v>50.3</v>
      </c>
      <c r="N254" s="5">
        <f>'[1]ÜDM sahələr üzrə'!AH302</f>
        <v>21.5</v>
      </c>
      <c r="O254" s="5">
        <f>'[1]ÜDM sahələr üzrə'!AI302</f>
        <v>12.9</v>
      </c>
      <c r="P254" s="59">
        <f>'[1]ÜDM sahələr üzrə'!AJ302</f>
        <v>10.216421254047475</v>
      </c>
      <c r="Q254" s="5">
        <f>'[1]ÜDM sahələr üzrə'!AK302</f>
        <v>10.936184694367995</v>
      </c>
      <c r="R254" s="5">
        <f>'[1]ÜDM sahələr üzrə'!AL302</f>
        <v>9.532181900753244</v>
      </c>
      <c r="S254" s="5">
        <f>'[1]ÜDM sahələr üzrə'!AM302</f>
        <v>7.9471356149526002</v>
      </c>
      <c r="T254" s="6">
        <f>'[1]ÜDM sahələr üzrə'!AN302</f>
        <v>7.2015999587720927</v>
      </c>
      <c r="U254" s="6">
        <f>'[1]ÜDM sahələr üzrə'!AO302</f>
        <v>6.579734823326632</v>
      </c>
    </row>
    <row r="255" spans="1:21" customFormat="1" ht="14">
      <c r="A255" s="67"/>
      <c r="B255" s="8" t="s">
        <v>56</v>
      </c>
      <c r="C255" s="154" t="s">
        <v>6</v>
      </c>
      <c r="D255" s="60">
        <v>2.710512361381177</v>
      </c>
      <c r="E255" s="10">
        <v>0.41981512182675829</v>
      </c>
      <c r="F255" s="10">
        <v>-9.2601885297911082</v>
      </c>
      <c r="G255" s="10">
        <v>6.2468777249962812</v>
      </c>
      <c r="H255" s="60">
        <v>9.3576308250812019</v>
      </c>
      <c r="I255" s="59">
        <f>'[1]ÜDM sahələr üzrə'!AC305</f>
        <v>2.3934911189751773</v>
      </c>
      <c r="J255" s="10">
        <f>'[1]ÜDM sahələr üzrə'!AD305</f>
        <v>1.4660465360325787</v>
      </c>
      <c r="K255" s="11">
        <f>'[1]ÜDM sahələr üzrə'!AE305</f>
        <v>1.9589922703722351</v>
      </c>
      <c r="L255" s="10">
        <f>'[1]ÜDM sahələr üzrə'!AF305</f>
        <v>5.847792695404479</v>
      </c>
      <c r="M255" s="10">
        <f>'[1]ÜDM sahələr üzrə'!AG305</f>
        <v>15.173015979353792</v>
      </c>
      <c r="N255" s="10">
        <f>'[1]ÜDM sahələr üzrə'!AH305</f>
        <v>8.1454480487537637</v>
      </c>
      <c r="O255" s="10">
        <f>'[1]ÜDM sahələr üzrə'!AI305</f>
        <v>2.2399395889512732</v>
      </c>
      <c r="P255" s="60">
        <f>'[1]ÜDM sahələr üzrə'!AJ305</f>
        <v>-0.95048592057500514</v>
      </c>
      <c r="Q255" s="10">
        <f>'[1]ÜDM sahələr üzrə'!AK305</f>
        <v>-21.392134638236655</v>
      </c>
      <c r="R255" s="10">
        <f>'[1]ÜDM sahələr üzrə'!AL305</f>
        <v>-20.517027163096003</v>
      </c>
      <c r="S255" s="10">
        <f>'[1]ÜDM sahələr üzrə'!AM305</f>
        <v>0.82196476316542544</v>
      </c>
      <c r="T255" s="11">
        <f>'[1]ÜDM sahələr üzrə'!AN305</f>
        <v>6.384881305374023</v>
      </c>
      <c r="U255" s="11">
        <f>'[1]ÜDM sahələr üzrə'!AO305</f>
        <v>7.0659167096999624</v>
      </c>
    </row>
    <row r="256" spans="1:21" customFormat="1" ht="14">
      <c r="A256" s="117" t="s">
        <v>129</v>
      </c>
      <c r="B256" s="108" t="s">
        <v>130</v>
      </c>
      <c r="C256" s="152"/>
      <c r="D256" s="120"/>
      <c r="E256" s="123"/>
      <c r="F256" s="123"/>
      <c r="G256" s="123"/>
      <c r="H256" s="120"/>
      <c r="I256" s="204"/>
      <c r="J256" s="123"/>
      <c r="K256" s="124"/>
      <c r="L256" s="123"/>
      <c r="M256" s="123"/>
      <c r="N256" s="123"/>
      <c r="O256" s="123"/>
      <c r="P256" s="120"/>
      <c r="Q256" s="123"/>
      <c r="R256" s="123"/>
      <c r="S256" s="123"/>
      <c r="T256" s="124"/>
      <c r="U256" s="124"/>
    </row>
    <row r="257" spans="1:21" customFormat="1" ht="14">
      <c r="A257" s="66" t="s">
        <v>67</v>
      </c>
      <c r="B257" s="4" t="s">
        <v>68</v>
      </c>
      <c r="C257" s="153" t="s">
        <v>12</v>
      </c>
      <c r="D257" s="59">
        <v>3905.2</v>
      </c>
      <c r="E257" s="5">
        <v>4066.3</v>
      </c>
      <c r="F257" s="5">
        <v>4867.2</v>
      </c>
      <c r="G257" s="5">
        <v>6119.3</v>
      </c>
      <c r="H257" s="59">
        <v>7096.4</v>
      </c>
      <c r="I257" s="59">
        <f>'[1]ÜDM sahələr üzrə'!AC309</f>
        <v>7587.1</v>
      </c>
      <c r="J257" s="5">
        <f>'[1]ÜDM sahələr üzrə'!AD309</f>
        <v>7624</v>
      </c>
      <c r="K257" s="6">
        <f>'[1]ÜDM sahələr üzrə'!AE309</f>
        <v>8068.5</v>
      </c>
      <c r="L257" s="5">
        <f>'[1]ÜDM sahələr üzrə'!AF309</f>
        <v>9949.6</v>
      </c>
      <c r="M257" s="5">
        <f>'[1]ÜDM sahələr üzrə'!AG309</f>
        <v>12845.4</v>
      </c>
      <c r="N257" s="5">
        <f>'[1]ÜDM sahələr üzrə'!AH309</f>
        <v>12532.1</v>
      </c>
      <c r="O257" s="5">
        <f>'[1]ÜDM sahələr üzrə'!AI309</f>
        <v>14148.2</v>
      </c>
      <c r="P257" s="59">
        <f>'[1]ÜDM sahələr üzrə'!AJ309</f>
        <v>15017.29623892613</v>
      </c>
      <c r="Q257" s="5">
        <f>'[1]ÜDM sahələr üzrə'!AK309</f>
        <v>15802.029636216155</v>
      </c>
      <c r="R257" s="5">
        <f>'[1]ÜDM sahələr üzrə'!AL309</f>
        <v>17577.730907140405</v>
      </c>
      <c r="S257" s="5">
        <f>'[1]ÜDM sahələr üzrə'!AM309</f>
        <v>19689.913695208415</v>
      </c>
      <c r="T257" s="6">
        <f>'[1]ÜDM sahələr üzrə'!AN309</f>
        <v>22112.328015010233</v>
      </c>
      <c r="U257" s="6">
        <f>'[1]ÜDM sahələr üzrə'!AO309</f>
        <v>24327.57953295271</v>
      </c>
    </row>
    <row r="258" spans="1:21" customFormat="1" ht="14">
      <c r="A258" s="66" t="s">
        <v>69</v>
      </c>
      <c r="B258" s="4" t="s">
        <v>70</v>
      </c>
      <c r="C258" s="153" t="s">
        <v>12</v>
      </c>
      <c r="D258" s="59">
        <v>1336.3</v>
      </c>
      <c r="E258" s="5">
        <v>1410.4</v>
      </c>
      <c r="F258" s="5">
        <v>1625.2999999999997</v>
      </c>
      <c r="G258" s="5">
        <v>2043.6000000000004</v>
      </c>
      <c r="H258" s="59">
        <v>2377.7799999999997</v>
      </c>
      <c r="I258" s="59">
        <f>'[1]ÜDM sahələr üzrə'!AC310</f>
        <v>2659.2000000000007</v>
      </c>
      <c r="J258" s="5">
        <f>'[1]ÜDM sahələr üzrə'!AD310</f>
        <v>2756.8999999999996</v>
      </c>
      <c r="K258" s="6">
        <f>'[1]ÜDM sahələr üzrə'!AE310</f>
        <v>2894</v>
      </c>
      <c r="L258" s="5">
        <f>'[1]ÜDM sahələr üzrə'!AF310</f>
        <v>3559.6100000000006</v>
      </c>
      <c r="M258" s="5">
        <f>'[1]ÜDM sahələr üzrə'!AG310</f>
        <v>4723.5599999999995</v>
      </c>
      <c r="N258" s="5">
        <f>'[1]ÜDM sahələr üzrə'!AH310</f>
        <v>4705.1000000000004</v>
      </c>
      <c r="O258" s="5">
        <f>'[1]ÜDM sahələr üzrə'!AI310</f>
        <v>5325.3000000000011</v>
      </c>
      <c r="P258" s="59">
        <f>'[1]ÜDM sahələr üzrə'!AJ310</f>
        <v>5652.4227577468046</v>
      </c>
      <c r="Q258" s="5">
        <f>'[1]ÜDM sahələr üzrə'!AK310</f>
        <v>5947.791833713256</v>
      </c>
      <c r="R258" s="5">
        <f>'[1]ÜDM sahələr üzrə'!AL310</f>
        <v>6616.1554402535166</v>
      </c>
      <c r="S258" s="5">
        <f>'[1]ÜDM sahələr üzrə'!AM310</f>
        <v>7411.1687282547173</v>
      </c>
      <c r="T258" s="6">
        <f>'[1]ÜDM sahələr üzrə'!AN310</f>
        <v>8322.9513562385328</v>
      </c>
      <c r="U258" s="6">
        <f>'[1]ÜDM sahələr üzrə'!AO310</f>
        <v>9156.7591133029709</v>
      </c>
    </row>
    <row r="259" spans="1:21" customFormat="1" ht="14">
      <c r="A259" s="66" t="s">
        <v>71</v>
      </c>
      <c r="B259" s="4" t="s">
        <v>72</v>
      </c>
      <c r="C259" s="153" t="s">
        <v>12</v>
      </c>
      <c r="D259" s="59">
        <v>2568.9</v>
      </c>
      <c r="E259" s="5">
        <v>2655.9</v>
      </c>
      <c r="F259" s="5">
        <v>3241.9</v>
      </c>
      <c r="G259" s="5">
        <v>4075.7</v>
      </c>
      <c r="H259" s="59">
        <v>4718.62</v>
      </c>
      <c r="I259" s="59">
        <f>'[1]ÜDM sahələr üzrə'!AC311</f>
        <v>4927.8999999999996</v>
      </c>
      <c r="J259" s="5">
        <f>'[1]ÜDM sahələr üzrə'!AD311</f>
        <v>4867.1000000000004</v>
      </c>
      <c r="K259" s="6">
        <f>'[1]ÜDM sahələr üzrə'!AE311</f>
        <v>5174.5</v>
      </c>
      <c r="L259" s="5">
        <f>'[1]ÜDM sahələr üzrə'!AF311</f>
        <v>6389.99</v>
      </c>
      <c r="M259" s="5">
        <f>'[1]ÜDM sahələr üzrə'!AG311</f>
        <v>8121.84</v>
      </c>
      <c r="N259" s="5">
        <f>'[1]ÜDM sahələr üzrə'!AH311</f>
        <v>7827</v>
      </c>
      <c r="O259" s="5">
        <f>'[1]ÜDM sahələr üzrə'!AI311</f>
        <v>8822.9</v>
      </c>
      <c r="P259" s="59">
        <f>'[1]ÜDM sahələr üzrə'!AJ311</f>
        <v>9364.8734811793256</v>
      </c>
      <c r="Q259" s="5">
        <f>'[1]ÜDM sahələr üzrə'!AK311</f>
        <v>9854.2378025028993</v>
      </c>
      <c r="R259" s="5">
        <f>'[1]ÜDM sahələr üzrə'!AL311</f>
        <v>10961.575466886889</v>
      </c>
      <c r="S259" s="5">
        <f>'[1]ÜDM sahələr üzrə'!AM311</f>
        <v>12278.744966953698</v>
      </c>
      <c r="T259" s="6">
        <f>'[1]ÜDM sahələr üzrə'!AN311</f>
        <v>13789.3766587717</v>
      </c>
      <c r="U259" s="6">
        <f>'[1]ÜDM sahələr üzrə'!AO311</f>
        <v>15170.820419649739</v>
      </c>
    </row>
    <row r="260" spans="1:21" customFormat="1" ht="14">
      <c r="A260" s="66"/>
      <c r="B260" s="4" t="s">
        <v>73</v>
      </c>
      <c r="C260" s="153" t="s">
        <v>6</v>
      </c>
      <c r="D260" s="59">
        <v>65.78152207313326</v>
      </c>
      <c r="E260" s="5">
        <v>65.314905442293977</v>
      </c>
      <c r="F260" s="5">
        <v>66.607084155161076</v>
      </c>
      <c r="G260" s="5">
        <v>66.604023336002484</v>
      </c>
      <c r="H260" s="59">
        <v>66.49315145707682</v>
      </c>
      <c r="I260" s="59">
        <f>'[1]ÜDM sahələr üzrə'!AC312</f>
        <v>64.951035309933957</v>
      </c>
      <c r="J260" s="5">
        <f>'[1]ÜDM sahələr üzrə'!AD312</f>
        <v>63.839192025183635</v>
      </c>
      <c r="K260" s="6">
        <f>'[1]ÜDM sahələr üzrə'!AE312</f>
        <v>64.13211873334572</v>
      </c>
      <c r="L260" s="5">
        <f>'[1]ÜDM sahələr üzrə'!AF312</f>
        <v>64.223586877864435</v>
      </c>
      <c r="M260" s="5">
        <f>'[1]ÜDM sahələr üzrə'!AG312</f>
        <v>63.227614554626562</v>
      </c>
      <c r="N260" s="5">
        <f>'[1]ÜDM sahələr üzrə'!AH312</f>
        <v>62.455613983290903</v>
      </c>
      <c r="O260" s="5">
        <f>'[1]ÜDM sahələr üzrə'!AI312</f>
        <v>62.360582971685439</v>
      </c>
      <c r="P260" s="59">
        <f>'[1]ÜDM sahələr üzrə'!AJ312</f>
        <v>62.360582971685439</v>
      </c>
      <c r="Q260" s="5">
        <f>'[1]ÜDM sahələr üzrə'!AK312</f>
        <v>62.360582971685439</v>
      </c>
      <c r="R260" s="5">
        <f>'[1]ÜDM sahələr üzrə'!AL312</f>
        <v>62.360582971685439</v>
      </c>
      <c r="S260" s="5">
        <f>'[1]ÜDM sahələr üzrə'!AM312</f>
        <v>62.360582971685439</v>
      </c>
      <c r="T260" s="6">
        <f>'[1]ÜDM sahələr üzrə'!AN312</f>
        <v>62.360582971685439</v>
      </c>
      <c r="U260" s="6">
        <f>'[1]ÜDM sahələr üzrə'!AO312</f>
        <v>62.360582971685439</v>
      </c>
    </row>
    <row r="261" spans="1:21" customFormat="1" ht="14">
      <c r="A261" s="66"/>
      <c r="B261" s="3" t="s">
        <v>16</v>
      </c>
      <c r="C261" s="153" t="s">
        <v>6</v>
      </c>
      <c r="D261" s="59">
        <v>6.25</v>
      </c>
      <c r="E261" s="5">
        <v>4.7000000000000028</v>
      </c>
      <c r="F261" s="5">
        <v>-1</v>
      </c>
      <c r="G261" s="5">
        <v>-0.7</v>
      </c>
      <c r="H261" s="59">
        <v>8.5</v>
      </c>
      <c r="I261" s="59">
        <f>'[1]ÜDM sahələr üzrə'!AC313</f>
        <v>7.7</v>
      </c>
      <c r="J261" s="5">
        <f>'[1]ÜDM sahələr üzrə'!AD313</f>
        <v>1.25</v>
      </c>
      <c r="K261" s="6">
        <f>'[1]ÜDM sahələr üzrə'!AE313</f>
        <v>4.8899999999999997</v>
      </c>
      <c r="L261" s="5">
        <f>'[1]ÜDM sahələr üzrə'!AF313</f>
        <v>16.399999999999999</v>
      </c>
      <c r="M261" s="5">
        <f>'[1]ÜDM sahələr üzrə'!AG313</f>
        <v>24.78</v>
      </c>
      <c r="N261" s="5">
        <f>'[1]ÜDM sahələr üzrə'!AH313</f>
        <v>-7</v>
      </c>
      <c r="O261" s="5">
        <f>'[1]ÜDM sahələr üzrə'!AI313</f>
        <v>14.1</v>
      </c>
      <c r="P261" s="59">
        <f>'[1]ÜDM sahələr üzrə'!AJ313</f>
        <v>7.8006886581732999</v>
      </c>
      <c r="Q261" s="5">
        <f>'[1]ÜDM sahələr üzrə'!AK313</f>
        <v>2.57522746363369</v>
      </c>
      <c r="R261" s="5">
        <f>'[1]ÜDM sahələr üzrə'!AL313</f>
        <v>2.7905005487553995</v>
      </c>
      <c r="S261" s="5">
        <f>'[1]ÜDM sahələr üzrə'!AM313</f>
        <v>2.689877540354725</v>
      </c>
      <c r="T261" s="6">
        <f>'[1]ÜDM sahələr üzrə'!AN313</f>
        <v>2.6718545919760452</v>
      </c>
      <c r="U261" s="6">
        <f>'[1]ÜDM sahələr üzrə'!AO313</f>
        <v>0.55273521848247209</v>
      </c>
    </row>
    <row r="262" spans="1:21" customFormat="1" ht="14">
      <c r="A262" s="67"/>
      <c r="B262" s="8" t="s">
        <v>56</v>
      </c>
      <c r="C262" s="154" t="s">
        <v>6</v>
      </c>
      <c r="D262" s="60">
        <v>-10.239522004227879</v>
      </c>
      <c r="E262" s="10">
        <v>-1.2543805611334449</v>
      </c>
      <c r="F262" s="10">
        <v>9.8000000000000007</v>
      </c>
      <c r="G262" s="10">
        <v>26.605725565866891</v>
      </c>
      <c r="H262" s="60">
        <v>6.7045789765101063</v>
      </c>
      <c r="I262" s="59">
        <f>'[1]ÜDM sahələr üzrə'!AC314</f>
        <v>-3.0309770760026993</v>
      </c>
      <c r="J262" s="10">
        <f>'[1]ÜDM sahələr üzrə'!AD314</f>
        <v>-2.4531271803605392</v>
      </c>
      <c r="K262" s="11">
        <f>'[1]ÜDM sahələr üzrə'!AE314</f>
        <v>1.3594012619365827</v>
      </c>
      <c r="L262" s="10">
        <f>'[1]ÜDM sahələr üzrə'!AF314</f>
        <v>6.0910644619613947</v>
      </c>
      <c r="M262" s="10">
        <f>'[1]ÜDM sahələr üzrə'!AG314</f>
        <v>1.8613129719214498</v>
      </c>
      <c r="N262" s="10">
        <f>'[1]ÜDM sahələr üzrə'!AH314</f>
        <v>3.6234280933638843</v>
      </c>
      <c r="O262" s="10">
        <f>'[1]ÜDM sahələr üzrə'!AI314</f>
        <v>-1.2060434413920547</v>
      </c>
      <c r="P262" s="60">
        <f>'[1]ÜDM sahələr üzrə'!AJ314</f>
        <v>-1.5379162898399699</v>
      </c>
      <c r="Q262" s="10">
        <f>'[1]ÜDM sahələr üzrə'!AK314</f>
        <v>2.5837652185115587</v>
      </c>
      <c r="R262" s="10">
        <f>'[1]ÜDM sahələr üzrə'!AL314</f>
        <v>8.2173659437255111</v>
      </c>
      <c r="S262" s="10">
        <f>'[1]ÜDM sahələr üzrə'!AM314</f>
        <v>9.082068530593375</v>
      </c>
      <c r="T262" s="11">
        <f>'[1]ÜDM sahələr üzrə'!AN314</f>
        <v>9.3803348733726608</v>
      </c>
      <c r="U262" s="11">
        <f>'[1]ÜDM sahələr üzrə'!AO314</f>
        <v>9.4134076613706839</v>
      </c>
    </row>
    <row r="263" spans="1:21" customFormat="1" ht="14">
      <c r="A263" s="117" t="s">
        <v>131</v>
      </c>
      <c r="B263" s="108" t="s">
        <v>132</v>
      </c>
      <c r="C263" s="152"/>
      <c r="D263" s="120"/>
      <c r="E263" s="123"/>
      <c r="F263" s="123"/>
      <c r="G263" s="123"/>
      <c r="H263" s="120"/>
      <c r="I263" s="204"/>
      <c r="J263" s="123"/>
      <c r="K263" s="124"/>
      <c r="L263" s="123"/>
      <c r="M263" s="123"/>
      <c r="N263" s="123"/>
      <c r="O263" s="123"/>
      <c r="P263" s="120"/>
      <c r="Q263" s="123"/>
      <c r="R263" s="123"/>
      <c r="S263" s="123"/>
      <c r="T263" s="124"/>
      <c r="U263" s="124"/>
    </row>
    <row r="264" spans="1:21" customFormat="1" ht="14">
      <c r="A264" s="66" t="s">
        <v>67</v>
      </c>
      <c r="B264" s="4" t="s">
        <v>68</v>
      </c>
      <c r="C264" s="153" t="s">
        <v>12</v>
      </c>
      <c r="D264" s="59">
        <v>1535.5</v>
      </c>
      <c r="E264" s="5">
        <v>1623.5</v>
      </c>
      <c r="F264" s="5">
        <v>1644.2</v>
      </c>
      <c r="G264" s="5">
        <v>1603.2</v>
      </c>
      <c r="H264" s="59">
        <v>1731.8</v>
      </c>
      <c r="I264" s="59">
        <f>'[1]ÜDM sahələr üzrə'!AC318</f>
        <v>1896.9</v>
      </c>
      <c r="J264" s="5">
        <f>'[1]ÜDM sahələr üzrə'!AD318</f>
        <v>2223.6</v>
      </c>
      <c r="K264" s="6">
        <f>'[1]ÜDM sahələr üzrə'!AE318</f>
        <v>2316.8000000000002</v>
      </c>
      <c r="L264" s="5">
        <f>'[1]ÜDM sahələr üzrə'!AF318</f>
        <v>2475.6</v>
      </c>
      <c r="M264" s="5">
        <f>'[1]ÜDM sahələr üzrə'!AG318</f>
        <v>2896.2</v>
      </c>
      <c r="N264" s="5">
        <f>'[1]ÜDM sahələr üzrə'!AH318</f>
        <v>3365.9</v>
      </c>
      <c r="O264" s="5">
        <f>'[1]ÜDM sahələr üzrə'!AI318</f>
        <v>3761.1</v>
      </c>
      <c r="P264" s="59">
        <f>'[1]ÜDM sahələr üzrə'!AJ318</f>
        <v>4155.7561313561982</v>
      </c>
      <c r="Q264" s="5">
        <f>'[1]ÜDM sahələr üzrə'!AK318</f>
        <v>4574.5361738593156</v>
      </c>
      <c r="R264" s="5">
        <f>'[1]ÜDM sahələr üzrə'!AL318</f>
        <v>5035.204042018664</v>
      </c>
      <c r="S264" s="5">
        <f>'[1]ÜDM sahələr üzrə'!AM318</f>
        <v>5542.9893679022189</v>
      </c>
      <c r="T264" s="6">
        <f>'[1]ÜDM sahələr üzrə'!AN318</f>
        <v>6102.9080445146483</v>
      </c>
      <c r="U264" s="6">
        <f>'[1]ÜDM sahələr üzrə'!AO318</f>
        <v>6720.3463401406179</v>
      </c>
    </row>
    <row r="265" spans="1:21" customFormat="1" ht="14">
      <c r="A265" s="66" t="s">
        <v>69</v>
      </c>
      <c r="B265" s="4" t="s">
        <v>70</v>
      </c>
      <c r="C265" s="153" t="s">
        <v>12</v>
      </c>
      <c r="D265" s="59">
        <v>523.6</v>
      </c>
      <c r="E265" s="5">
        <v>552.59999999999991</v>
      </c>
      <c r="F265" s="5">
        <v>556.5</v>
      </c>
      <c r="G265" s="5">
        <v>545.10000000000014</v>
      </c>
      <c r="H265" s="59">
        <v>587.79999999999995</v>
      </c>
      <c r="I265" s="59">
        <f>'[1]ÜDM sahələr üzrə'!AC319</f>
        <v>641.60000000000014</v>
      </c>
      <c r="J265" s="5">
        <f>'[1]ÜDM sahələr üzrə'!AD319</f>
        <v>751.39999999999986</v>
      </c>
      <c r="K265" s="6">
        <f>'[1]ÜDM sahələr üzrə'!AE319</f>
        <v>778.10000000000014</v>
      </c>
      <c r="L265" s="5">
        <f>'[1]ÜDM sahələr üzrə'!AF319</f>
        <v>831.53</v>
      </c>
      <c r="M265" s="5">
        <f>'[1]ÜDM sahələr üzrə'!AG319</f>
        <v>1046.3799999999999</v>
      </c>
      <c r="N265" s="5">
        <f>'[1]ÜDM sahələr üzrə'!AH319</f>
        <v>1218.5</v>
      </c>
      <c r="O265" s="5">
        <f>'[1]ÜDM sahələr üzrə'!AI319</f>
        <v>1361.6</v>
      </c>
      <c r="P265" s="59">
        <f>'[1]ÜDM sahələr üzrə'!AJ319</f>
        <v>1504.4741029099464</v>
      </c>
      <c r="Q265" s="5">
        <f>'[1]ÜDM sahələr üzrə'!AK319</f>
        <v>1656.08158632497</v>
      </c>
      <c r="R265" s="5">
        <f>'[1]ÜDM sahələr üzrə'!AL319</f>
        <v>1822.853373644044</v>
      </c>
      <c r="S265" s="5">
        <f>'[1]ÜDM sahələr üzrə'!AM319</f>
        <v>2006.6827054148152</v>
      </c>
      <c r="T265" s="6">
        <f>'[1]ÜDM sahələr üzrə'!AN319</f>
        <v>2209.3854439954125</v>
      </c>
      <c r="U265" s="6">
        <f>'[1]ÜDM sahələr üzrə'!AO319</f>
        <v>2432.9115356505981</v>
      </c>
    </row>
    <row r="266" spans="1:21" customFormat="1" ht="14">
      <c r="A266" s="66" t="s">
        <v>71</v>
      </c>
      <c r="B266" s="4" t="s">
        <v>72</v>
      </c>
      <c r="C266" s="153" t="s">
        <v>12</v>
      </c>
      <c r="D266" s="59">
        <v>1011.9</v>
      </c>
      <c r="E266" s="5">
        <v>1070.9000000000001</v>
      </c>
      <c r="F266" s="5">
        <v>1087.7</v>
      </c>
      <c r="G266" s="5">
        <v>1058.0999999999999</v>
      </c>
      <c r="H266" s="59">
        <v>1144</v>
      </c>
      <c r="I266" s="59">
        <f>'[1]ÜDM sahələr üzrə'!AC320</f>
        <v>1255.3</v>
      </c>
      <c r="J266" s="5">
        <f>'[1]ÜDM sahələr üzrə'!AD320</f>
        <v>1472.2</v>
      </c>
      <c r="K266" s="6">
        <f>'[1]ÜDM sahələr üzrə'!AE320</f>
        <v>1538.7</v>
      </c>
      <c r="L266" s="5">
        <f>'[1]ÜDM sahələr üzrə'!AF320</f>
        <v>1644.07</v>
      </c>
      <c r="M266" s="5">
        <f>'[1]ÜDM sahələr üzrə'!AG320</f>
        <v>1849.82</v>
      </c>
      <c r="N266" s="5">
        <f>'[1]ÜDM sahələr üzrə'!AH320</f>
        <v>2147.4</v>
      </c>
      <c r="O266" s="5">
        <f>'[1]ÜDM sahələr üzrə'!AI320</f>
        <v>2399.5</v>
      </c>
      <c r="P266" s="59">
        <f>'[1]ÜDM sahələr üzrə'!AJ320</f>
        <v>2651.2820284462518</v>
      </c>
      <c r="Q266" s="5">
        <f>'[1]ÜDM sahələr üzrə'!AK320</f>
        <v>2918.4545875343456</v>
      </c>
      <c r="R266" s="5">
        <f>'[1]ÜDM sahələr üzrə'!AL320</f>
        <v>3212.35066837462</v>
      </c>
      <c r="S266" s="5">
        <f>'[1]ÜDM sahələr üzrə'!AM320</f>
        <v>3536.3066624874036</v>
      </c>
      <c r="T266" s="6">
        <f>'[1]ÜDM sahələr üzrə'!AN320</f>
        <v>3893.5226005192358</v>
      </c>
      <c r="U266" s="6">
        <f>'[1]ÜDM sahələr üzrə'!AO320</f>
        <v>4287.4348044900198</v>
      </c>
    </row>
    <row r="267" spans="1:21" customFormat="1" ht="14">
      <c r="A267" s="66"/>
      <c r="B267" s="4" t="s">
        <v>73</v>
      </c>
      <c r="C267" s="153" t="s">
        <v>6</v>
      </c>
      <c r="D267" s="59">
        <v>65.900358189514819</v>
      </c>
      <c r="E267" s="5">
        <v>65.962426855558988</v>
      </c>
      <c r="F267" s="5">
        <v>66.153752584843701</v>
      </c>
      <c r="G267" s="5">
        <v>65.999251497005986</v>
      </c>
      <c r="H267" s="59">
        <v>66.058436309042605</v>
      </c>
      <c r="I267" s="59">
        <f>'[1]ÜDM sahələr üzrə'!AC321</f>
        <v>66.176393062364909</v>
      </c>
      <c r="J267" s="5">
        <f>'[1]ÜDM sahələr üzrə'!AD321</f>
        <v>66.207951070336406</v>
      </c>
      <c r="K267" s="6">
        <f>'[1]ÜDM sahələr üzrə'!AE321</f>
        <v>66.414882596685075</v>
      </c>
      <c r="L267" s="5">
        <f>'[1]ÜDM sahələr üzrə'!AF321</f>
        <v>66.410971077718528</v>
      </c>
      <c r="M267" s="5">
        <f>'[1]ÜDM sahələr üzrə'!AG321</f>
        <v>63.870589047717694</v>
      </c>
      <c r="N267" s="5">
        <f>'[1]ÜDM sahələr üzrə'!AH321</f>
        <v>63.798686829674089</v>
      </c>
      <c r="O267" s="5">
        <f>'[1]ÜDM sahələr üzrə'!AI321</f>
        <v>63.797825104357763</v>
      </c>
      <c r="P267" s="59">
        <f>'[1]ÜDM sahələr üzrə'!AJ321</f>
        <v>63.797825104357763</v>
      </c>
      <c r="Q267" s="5">
        <f>'[1]ÜDM sahələr üzrə'!AK321</f>
        <v>63.797825104357763</v>
      </c>
      <c r="R267" s="5">
        <f>'[1]ÜDM sahələr üzrə'!AL321</f>
        <v>63.797825104357763</v>
      </c>
      <c r="S267" s="5">
        <f>'[1]ÜDM sahələr üzrə'!AM321</f>
        <v>63.797825104357763</v>
      </c>
      <c r="T267" s="6">
        <f>'[1]ÜDM sahələr üzrə'!AN321</f>
        <v>63.797825104357763</v>
      </c>
      <c r="U267" s="6">
        <f>'[1]ÜDM sahələr üzrə'!AO321</f>
        <v>63.797825104357763</v>
      </c>
    </row>
    <row r="268" spans="1:21" customFormat="1" ht="14">
      <c r="A268" s="66"/>
      <c r="B268" s="3" t="s">
        <v>16</v>
      </c>
      <c r="C268" s="153" t="s">
        <v>6</v>
      </c>
      <c r="D268" s="59">
        <v>10.65</v>
      </c>
      <c r="E268" s="5">
        <v>15.099999999999994</v>
      </c>
      <c r="F268" s="5">
        <v>6.8</v>
      </c>
      <c r="G268" s="5">
        <v>4.7</v>
      </c>
      <c r="H268" s="59">
        <v>6.6</v>
      </c>
      <c r="I268" s="59">
        <f>'[1]ÜDM sahələr üzrə'!AC322</f>
        <v>9.8000000000000007</v>
      </c>
      <c r="J268" s="5">
        <f>'[1]ÜDM sahələr üzrə'!AD322</f>
        <v>17.2</v>
      </c>
      <c r="K268" s="6">
        <f>'[1]ÜDM sahələr üzrə'!AE322</f>
        <v>0.76</v>
      </c>
      <c r="L268" s="5">
        <f>'[1]ÜDM sahələr üzrə'!AF322</f>
        <v>6.4</v>
      </c>
      <c r="M268" s="5">
        <f>'[1]ÜDM sahələr üzrə'!AG322</f>
        <v>15.4</v>
      </c>
      <c r="N268" s="5">
        <f>'[1]ÜDM sahələr üzrə'!AH322</f>
        <v>16.899999999999999</v>
      </c>
      <c r="O268" s="5">
        <f>'[1]ÜDM sahələr üzrə'!AI322</f>
        <v>11.4</v>
      </c>
      <c r="P268" s="59">
        <f>'[1]ÜDM sahələr üzrə'!AJ322</f>
        <v>10.225726740150492</v>
      </c>
      <c r="Q268" s="5">
        <f>'[1]ÜDM sahələr üzrə'!AK322</f>
        <v>10.075566750629733</v>
      </c>
      <c r="R268" s="5">
        <f>'[1]ÜDM sahələr üzrə'!AL322</f>
        <v>10.068649885583511</v>
      </c>
      <c r="S268" s="5">
        <f>'[1]ÜDM sahələr üzrə'!AM322</f>
        <v>10.083160083160081</v>
      </c>
      <c r="T268" s="6">
        <f>'[1]ÜDM sahələr üzrə'!AN322</f>
        <v>10.103871576959406</v>
      </c>
      <c r="U268" s="6">
        <f>'[1]ÜDM sahələr üzrə'!AO322</f>
        <v>10.120068610634661</v>
      </c>
    </row>
    <row r="269" spans="1:21" customFormat="1" ht="14">
      <c r="A269" s="67"/>
      <c r="B269" s="8" t="s">
        <v>56</v>
      </c>
      <c r="C269" s="154" t="s">
        <v>6</v>
      </c>
      <c r="D269" s="60">
        <v>-3.2372027758176074</v>
      </c>
      <c r="E269" s="10">
        <v>-8.0533313001863434</v>
      </c>
      <c r="F269" s="10">
        <v>-4.8981517523676388</v>
      </c>
      <c r="G269" s="10">
        <v>-7.0881935094504342</v>
      </c>
      <c r="H269" s="60">
        <v>1.4243201689176033</v>
      </c>
      <c r="I269" s="59">
        <f>'[1]ÜDM sahələr üzrə'!AC323</f>
        <v>-6.4643917102941373E-2</v>
      </c>
      <c r="J269" s="10">
        <f>'[1]ÜDM sahələr üzrə'!AD323</f>
        <v>6.7182722050333155E-2</v>
      </c>
      <c r="K269" s="11">
        <f>'[1]ÜDM sahələr üzrə'!AE323</f>
        <v>3.7287111095195513</v>
      </c>
      <c r="L269" s="10">
        <f>'[1]ÜDM sahələr üzrə'!AF323</f>
        <v>0.42104188136551102</v>
      </c>
      <c r="M269" s="10">
        <f>'[1]ÜDM sahələr üzrə'!AG323</f>
        <v>-2.5002825395094845</v>
      </c>
      <c r="N269" s="10">
        <f>'[1]ÜDM sahələr üzrə'!AH323</f>
        <v>-0.6954913394620803</v>
      </c>
      <c r="O269" s="10">
        <f>'[1]ÜDM sahələr üzrə'!AI323</f>
        <v>0.30500748347672868</v>
      </c>
      <c r="P269" s="60">
        <f>'[1]ÜDM sahələr üzrə'!AJ323</f>
        <v>0.24257238577583506</v>
      </c>
      <c r="Q269" s="10">
        <f>'[1]ÜDM sahələr üzrə'!AK323</f>
        <v>1.4003691209296676E-3</v>
      </c>
      <c r="R269" s="10">
        <f>'[1]ÜDM sahələr üzrə'!AL323</f>
        <v>1.4664352475222131E-3</v>
      </c>
      <c r="S269" s="10">
        <f>'[1]ÜDM sahələr üzrə'!AM323</f>
        <v>1.400740565671299E-3</v>
      </c>
      <c r="T269" s="11">
        <f>'[1]ÜDM sahələr üzrə'!AN323</f>
        <v>-2.2587187986573554E-3</v>
      </c>
      <c r="U269" s="11">
        <f>'[1]ÜDM sahələr üzrə'!AO323</f>
        <v>-2.6811250898362005E-3</v>
      </c>
    </row>
    <row r="270" spans="1:21" customFormat="1" ht="28">
      <c r="A270" s="117" t="s">
        <v>133</v>
      </c>
      <c r="B270" s="108" t="s">
        <v>134</v>
      </c>
      <c r="C270" s="152"/>
      <c r="D270" s="120"/>
      <c r="E270" s="123"/>
      <c r="F270" s="123"/>
      <c r="G270" s="123"/>
      <c r="H270" s="120"/>
      <c r="I270" s="204"/>
      <c r="J270" s="123"/>
      <c r="K270" s="124"/>
      <c r="L270" s="123"/>
      <c r="M270" s="123"/>
      <c r="N270" s="123"/>
      <c r="O270" s="123"/>
      <c r="P270" s="120"/>
      <c r="Q270" s="123"/>
      <c r="R270" s="123"/>
      <c r="S270" s="123"/>
      <c r="T270" s="124"/>
      <c r="U270" s="124"/>
    </row>
    <row r="271" spans="1:21" customFormat="1" ht="14">
      <c r="A271" s="66" t="s">
        <v>67</v>
      </c>
      <c r="B271" s="4" t="s">
        <v>68</v>
      </c>
      <c r="C271" s="153" t="s">
        <v>12</v>
      </c>
      <c r="D271" s="59">
        <v>13532.8</v>
      </c>
      <c r="E271" s="5">
        <v>14814.1</v>
      </c>
      <c r="F271" s="5">
        <v>15543</v>
      </c>
      <c r="G271" s="5">
        <v>15864.7</v>
      </c>
      <c r="H271" s="59">
        <v>17498.900000000001</v>
      </c>
      <c r="I271" s="59">
        <f>'[1]ÜDM sahələr üzrə'!AC325</f>
        <v>18551.3</v>
      </c>
      <c r="J271" s="5">
        <f>'[1]ÜDM sahələr üzrə'!AD325</f>
        <v>20296.8</v>
      </c>
      <c r="K271" s="6">
        <f>'[1]ÜDM sahələr üzrə'!AE325</f>
        <v>22073.8</v>
      </c>
      <c r="L271" s="5">
        <f>'[1]ÜDM sahələr üzrə'!AF325</f>
        <v>24771.599999999999</v>
      </c>
      <c r="M271" s="5">
        <f>'[1]ÜDM sahələr üzrə'!AG325</f>
        <v>30275.8</v>
      </c>
      <c r="N271" s="5">
        <f>'[1]ÜDM sahələr üzrə'!AH325</f>
        <v>34977.599999999999</v>
      </c>
      <c r="O271" s="5">
        <f>'[1]ÜDM sahələr üzrə'!AI325</f>
        <v>38219.199999999997</v>
      </c>
      <c r="P271" s="59">
        <f>'[1]ÜDM sahələr üzrə'!AJ325</f>
        <v>40780.061747969376</v>
      </c>
      <c r="Q271" s="5">
        <f>'[1]ÜDM sahələr üzrə'!AK325</f>
        <v>44117.960150125989</v>
      </c>
      <c r="R271" s="5">
        <f>'[1]ÜDM sahələr üzrə'!AL325</f>
        <v>47773.922250405194</v>
      </c>
      <c r="S271" s="5">
        <f>'[1]ÜDM sahələr üzrə'!AM325</f>
        <v>52501.510161898033</v>
      </c>
      <c r="T271" s="6">
        <f>'[1]ÜDM sahələr üzrə'!AN325</f>
        <v>57543.03024179153</v>
      </c>
      <c r="U271" s="6">
        <f>'[1]ÜDM sahələr üzrə'!AO325</f>
        <v>62396.964134400012</v>
      </c>
    </row>
    <row r="272" spans="1:21" customFormat="1" ht="14">
      <c r="A272" s="66" t="s">
        <v>69</v>
      </c>
      <c r="B272" s="4" t="s">
        <v>70</v>
      </c>
      <c r="C272" s="153" t="s">
        <v>12</v>
      </c>
      <c r="D272" s="59">
        <v>4345.2</v>
      </c>
      <c r="E272" s="5">
        <v>4623.8999999999978</v>
      </c>
      <c r="F272" s="5">
        <v>4823.3999999999996</v>
      </c>
      <c r="G272" s="5">
        <v>5294.4000000000015</v>
      </c>
      <c r="H272" s="59">
        <v>5886.5000000000018</v>
      </c>
      <c r="I272" s="59">
        <f>'[1]ÜDM sahələr üzrə'!AC326</f>
        <v>6365.4</v>
      </c>
      <c r="J272" s="5">
        <f>'[1]ÜDM sahələr üzrə'!AD326</f>
        <v>6917.4</v>
      </c>
      <c r="K272" s="6">
        <f>'[1]ÜDM sahələr üzrə'!AE326</f>
        <v>7595.1</v>
      </c>
      <c r="L272" s="5">
        <f>'[1]ÜDM sahələr üzrə'!AF326</f>
        <v>8535.4499999999989</v>
      </c>
      <c r="M272" s="5">
        <f>'[1]ÜDM sahələr üzrə'!AG326</f>
        <v>10636.759999999998</v>
      </c>
      <c r="N272" s="5">
        <f>'[1]ÜDM sahələr üzrə'!AH326</f>
        <v>11943.5</v>
      </c>
      <c r="O272" s="5">
        <f>'[1]ÜDM sahələr üzrə'!AI326</f>
        <v>13050.399999999998</v>
      </c>
      <c r="P272" s="59">
        <f>'[1]ÜDM sahələr üzrə'!AJ326</f>
        <v>13924.836674647806</v>
      </c>
      <c r="Q272" s="5">
        <f>'[1]ÜDM sahələr üzrə'!AK326</f>
        <v>15064.601748419751</v>
      </c>
      <c r="R272" s="5">
        <f>'[1]ÜDM sahələr üzrə'!AL326</f>
        <v>16312.973451476948</v>
      </c>
      <c r="S272" s="5">
        <f>'[1]ÜDM sahələr üzrə'!AM326</f>
        <v>17927.264521937504</v>
      </c>
      <c r="T272" s="6">
        <f>'[1]ÜDM sahələr üzrə'!AN326</f>
        <v>19648.751461764667</v>
      </c>
      <c r="U272" s="6">
        <f>'[1]ÜDM sahələr üzrə'!AO326</f>
        <v>21306.184868850571</v>
      </c>
    </row>
    <row r="273" spans="1:21" customFormat="1" ht="14">
      <c r="A273" s="66" t="s">
        <v>71</v>
      </c>
      <c r="B273" s="4" t="s">
        <v>72</v>
      </c>
      <c r="C273" s="153" t="s">
        <v>12</v>
      </c>
      <c r="D273" s="59">
        <v>9187.5</v>
      </c>
      <c r="E273" s="5">
        <v>10190.200000000003</v>
      </c>
      <c r="F273" s="5">
        <v>10719.6</v>
      </c>
      <c r="G273" s="5">
        <v>10570.3</v>
      </c>
      <c r="H273" s="59">
        <v>11612.4</v>
      </c>
      <c r="I273" s="59">
        <f>'[1]ÜDM sahələr üzrə'!AC327</f>
        <v>12185.9</v>
      </c>
      <c r="J273" s="5">
        <f>'[1]ÜDM sahələr üzrə'!AD327</f>
        <v>13379.4</v>
      </c>
      <c r="K273" s="6">
        <f>'[1]ÜDM sahələr üzrə'!AE327</f>
        <v>14478.699999999999</v>
      </c>
      <c r="L273" s="5">
        <f>'[1]ÜDM sahələr üzrə'!AF327</f>
        <v>16236.15</v>
      </c>
      <c r="M273" s="5">
        <f>'[1]ÜDM sahələr üzrə'!AG327</f>
        <v>19639.04</v>
      </c>
      <c r="N273" s="5">
        <f>'[1]ÜDM sahələr üzrə'!AH327</f>
        <v>23034.1</v>
      </c>
      <c r="O273" s="5">
        <f>'[1]ÜDM sahələr üzrə'!AI327</f>
        <v>25168.799999999999</v>
      </c>
      <c r="P273" s="59">
        <f>'[1]ÜDM sahələr üzrə'!AJ327</f>
        <v>26855.22507332157</v>
      </c>
      <c r="Q273" s="5">
        <f>'[1]ÜDM sahələr üzrə'!AK327</f>
        <v>29053.358401706239</v>
      </c>
      <c r="R273" s="5">
        <f>'[1]ÜDM sahələr üzrə'!AL327</f>
        <v>31460.948798928246</v>
      </c>
      <c r="S273" s="5">
        <f>'[1]ÜDM sahələr üzrə'!AM327</f>
        <v>34574.245639960529</v>
      </c>
      <c r="T273" s="6">
        <f>'[1]ÜDM sahələr üzrə'!AN327</f>
        <v>37894.278780026863</v>
      </c>
      <c r="U273" s="6">
        <f>'[1]ÜDM sahələr üzrə'!AO327</f>
        <v>41090.779265549441</v>
      </c>
    </row>
    <row r="274" spans="1:21" customFormat="1" ht="14">
      <c r="A274" s="66"/>
      <c r="B274" s="4" t="s">
        <v>73</v>
      </c>
      <c r="C274" s="153" t="s">
        <v>6</v>
      </c>
      <c r="D274" s="59">
        <v>67.890606526365573</v>
      </c>
      <c r="E274" s="5">
        <v>68.787168980903346</v>
      </c>
      <c r="F274" s="5">
        <v>68.967380814514584</v>
      </c>
      <c r="G274" s="5">
        <v>66.627796302482864</v>
      </c>
      <c r="H274" s="59">
        <v>66.360742675253874</v>
      </c>
      <c r="I274" s="59">
        <f>'[1]ÜDM sahələr üzrə'!AC328</f>
        <v>65.687579846156325</v>
      </c>
      <c r="J274" s="5">
        <f>'[1]ÜDM sahələr üzrə'!AD328</f>
        <v>65.918765519687838</v>
      </c>
      <c r="K274" s="6">
        <f>'[1]ÜDM sahələr üzrə'!AE328</f>
        <v>65.592240574799078</v>
      </c>
      <c r="L274" s="5">
        <f>'[1]ÜDM sahələr üzrə'!AF328</f>
        <v>65.543404543913198</v>
      </c>
      <c r="M274" s="5">
        <f>'[1]ÜDM sahələr üzrə'!AG328</f>
        <v>64.86712159546569</v>
      </c>
      <c r="N274" s="5">
        <f>'[1]ÜDM sahələr üzrə'!AH328</f>
        <v>65.853860756598507</v>
      </c>
      <c r="O274" s="5">
        <f>'[1]ÜDM sahələr üzrə'!AI328</f>
        <v>65.853811696738816</v>
      </c>
      <c r="P274" s="59">
        <f>'[1]ÜDM sahələr üzrə'!AJ328</f>
        <v>65.853811696738816</v>
      </c>
      <c r="Q274" s="5">
        <f>'[1]ÜDM sahələr üzrə'!AK328</f>
        <v>65.853811696738816</v>
      </c>
      <c r="R274" s="5">
        <f>'[1]ÜDM sahələr üzrə'!AL328</f>
        <v>65.853811696738816</v>
      </c>
      <c r="S274" s="5">
        <f>'[1]ÜDM sahələr üzrə'!AM328</f>
        <v>65.853811696738816</v>
      </c>
      <c r="T274" s="6">
        <f>'[1]ÜDM sahələr üzrə'!AN328</f>
        <v>65.853811696738816</v>
      </c>
      <c r="U274" s="6">
        <f>'[1]ÜDM sahələr üzrə'!AO328</f>
        <v>65.853811696738816</v>
      </c>
    </row>
    <row r="275" spans="1:21" customFormat="1" ht="14">
      <c r="A275" s="66"/>
      <c r="B275" s="3" t="s">
        <v>16</v>
      </c>
      <c r="C275" s="153" t="s">
        <v>6</v>
      </c>
      <c r="D275" s="59">
        <v>7.2168694103854421</v>
      </c>
      <c r="E275" s="5">
        <v>5.1641571638456583</v>
      </c>
      <c r="F275" s="5">
        <v>1.664092137669499</v>
      </c>
      <c r="G275" s="5">
        <v>-2.9126231484718659</v>
      </c>
      <c r="H275" s="59">
        <v>0.61633854253810227</v>
      </c>
      <c r="I275" s="59">
        <f>'[1]ÜDM sahələr üzrə'!AC329</f>
        <v>1.6</v>
      </c>
      <c r="J275" s="5">
        <f>'[1]ÜDM sahələr üzrə'!AD329</f>
        <v>3.2</v>
      </c>
      <c r="K275" s="6">
        <f>'[1]ÜDM sahələr üzrə'!AE329</f>
        <v>-2.2799999999999998</v>
      </c>
      <c r="L275" s="5">
        <f>'[1]ÜDM sahələr üzrə'!AF329</f>
        <v>5</v>
      </c>
      <c r="M275" s="5">
        <f>'[1]ÜDM sahələr üzrə'!AG329</f>
        <v>4.0999999999999996</v>
      </c>
      <c r="N275" s="5">
        <f>'[1]ÜDM sahələr üzrə'!AH329</f>
        <v>3.47</v>
      </c>
      <c r="O275" s="5">
        <f>'[1]ÜDM sahələr üzrə'!AI329</f>
        <v>4.0490000000000004</v>
      </c>
      <c r="P275" s="59">
        <f>'[1]ÜDM sahələr üzrə'!AJ329</f>
        <v>1.5294747147463141</v>
      </c>
      <c r="Q275" s="5">
        <f>'[1]ÜDM sahələr üzrə'!AK329</f>
        <v>1.9701453481796136</v>
      </c>
      <c r="R275" s="5">
        <f>'[1]ÜDM sahələr üzrə'!AL329</f>
        <v>1.8500412091484719</v>
      </c>
      <c r="S275" s="5">
        <f>'[1]ÜDM sahələr üzrə'!AM329</f>
        <v>1.8980830135128173</v>
      </c>
      <c r="T275" s="6">
        <f>'[1]ÜDM sahələr üzrə'!AN329</f>
        <v>2.0846119652401711</v>
      </c>
      <c r="U275" s="6">
        <f>'[1]ÜDM sahələr üzrə'!AO329</f>
        <v>1.8530449951571768</v>
      </c>
    </row>
    <row r="276" spans="1:21" customFormat="1" ht="14">
      <c r="A276" s="67"/>
      <c r="B276" s="8" t="s">
        <v>56</v>
      </c>
      <c r="C276" s="154" t="s">
        <v>6</v>
      </c>
      <c r="D276" s="60">
        <v>10.328195811767799</v>
      </c>
      <c r="E276" s="10">
        <v>5.4672470999745286</v>
      </c>
      <c r="F276" s="10">
        <v>3.473296540797179</v>
      </c>
      <c r="G276" s="10">
        <v>1.5654427464354654</v>
      </c>
      <c r="H276" s="60">
        <v>9.1858010167871669</v>
      </c>
      <c r="I276" s="60">
        <f>'[1]ÜDM sahələr üzrə'!AC330</f>
        <v>3.2861084960225782</v>
      </c>
      <c r="J276" s="10">
        <f>'[1]ÜDM sahələr üzrə'!AD330</f>
        <v>6.3896378906845683</v>
      </c>
      <c r="K276" s="11">
        <f>'[1]ÜDM sahələr üzrə'!AE330</f>
        <v>10.741263270235564</v>
      </c>
      <c r="L276" s="10">
        <f>'[1]ÜDM sahələr üzrə'!AF330</f>
        <v>6.7982622749280068</v>
      </c>
      <c r="M276" s="10">
        <f>'[1]ÜDM sahələr üzrə'!AG330</f>
        <v>16.194740461909049</v>
      </c>
      <c r="N276" s="10">
        <f>'[1]ÜDM sahələr üzrə'!AH330</f>
        <v>13.353920181965023</v>
      </c>
      <c r="O276" s="10">
        <f>'[1]ÜDM sahələr üzrə'!AI330</f>
        <v>5.0154871037591704</v>
      </c>
      <c r="P276" s="60">
        <f>'[1]ÜDM sahələr üzrə'!AJ330</f>
        <v>5.0930866088699531</v>
      </c>
      <c r="Q276" s="10">
        <f>'[1]ÜDM sahələr üzrə'!AK330</f>
        <v>6.0948997308016857</v>
      </c>
      <c r="R276" s="10">
        <f>'[1]ÜDM sahələr üzrə'!AL330</f>
        <v>6.3198279868935714</v>
      </c>
      <c r="S276" s="10">
        <f>'[1]ÜDM sahələr üzrə'!AM330</f>
        <v>7.848692292141024</v>
      </c>
      <c r="T276" s="11">
        <f>'[1]ÜDM sahələr üzrə'!AN330</f>
        <v>7.3644862443741204</v>
      </c>
      <c r="U276" s="11">
        <f>'[1]ÜDM sahələr üzrə'!AO330</f>
        <v>6.4625133040066061</v>
      </c>
    </row>
    <row r="277" spans="1:21" customFormat="1">
      <c r="A277" s="23"/>
      <c r="B277" s="4"/>
      <c r="C277" s="162"/>
      <c r="D277" s="5"/>
      <c r="E277" s="5"/>
      <c r="F277" s="5"/>
      <c r="G277" s="5"/>
      <c r="H277" s="59"/>
      <c r="I277" s="59"/>
      <c r="J277" s="5"/>
      <c r="K277" s="6"/>
      <c r="L277" s="5"/>
      <c r="M277" s="5"/>
      <c r="N277" s="5"/>
      <c r="O277" s="5"/>
      <c r="P277" s="5"/>
      <c r="Q277" s="5"/>
      <c r="R277" s="5"/>
      <c r="S277" s="97"/>
      <c r="T277" s="5"/>
      <c r="U277" s="5"/>
    </row>
    <row r="278" spans="1:21" customFormat="1">
      <c r="A278" s="23"/>
      <c r="B278" s="4"/>
      <c r="C278" s="162"/>
      <c r="D278" s="5"/>
      <c r="E278" s="5"/>
      <c r="F278" s="5"/>
      <c r="G278" s="5"/>
      <c r="H278" s="59"/>
      <c r="I278" s="59"/>
      <c r="J278" s="5"/>
      <c r="K278" s="6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customFormat="1">
      <c r="A279" s="23"/>
      <c r="B279" s="4"/>
      <c r="C279" s="162"/>
      <c r="D279" s="5"/>
      <c r="E279" s="5"/>
      <c r="F279" s="5"/>
      <c r="G279" s="5"/>
      <c r="H279" s="59"/>
      <c r="I279" s="59"/>
      <c r="J279" s="5"/>
      <c r="K279" s="6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customFormat="1">
      <c r="A280" s="23"/>
      <c r="B280" s="4"/>
      <c r="C280" s="162"/>
      <c r="D280" s="5"/>
      <c r="E280" s="5"/>
      <c r="F280" s="5"/>
      <c r="G280" s="5"/>
      <c r="H280" s="59"/>
      <c r="I280" s="59"/>
      <c r="J280" s="5"/>
      <c r="K280" s="6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customFormat="1">
      <c r="A281" s="23"/>
      <c r="B281" s="4"/>
      <c r="C281" s="162"/>
      <c r="D281" s="5"/>
      <c r="E281" s="5"/>
      <c r="F281" s="5"/>
      <c r="G281" s="5"/>
      <c r="H281" s="59"/>
      <c r="I281" s="59"/>
      <c r="J281" s="5"/>
      <c r="K281" s="6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customFormat="1">
      <c r="A282" s="23"/>
      <c r="B282" s="4"/>
      <c r="C282" s="162"/>
      <c r="D282" s="5"/>
      <c r="E282" s="5"/>
      <c r="F282" s="5"/>
      <c r="G282" s="5"/>
      <c r="H282" s="59"/>
      <c r="I282" s="59"/>
      <c r="J282" s="5"/>
      <c r="K282" s="6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customFormat="1">
      <c r="A283" s="23"/>
      <c r="B283" s="4"/>
      <c r="C283" s="162"/>
      <c r="D283" s="5"/>
      <c r="E283" s="5"/>
      <c r="F283" s="5"/>
      <c r="G283" s="5"/>
      <c r="H283" s="59"/>
      <c r="I283" s="59"/>
      <c r="J283" s="5"/>
      <c r="K283" s="6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customFormat="1">
      <c r="A284" s="23"/>
      <c r="B284" s="4"/>
      <c r="C284" s="162"/>
      <c r="D284" s="5"/>
      <c r="E284" s="5"/>
      <c r="F284" s="5"/>
      <c r="G284" s="5"/>
      <c r="H284" s="59"/>
      <c r="I284" s="59"/>
      <c r="J284" s="5"/>
      <c r="K284" s="6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customFormat="1">
      <c r="A285" s="23"/>
      <c r="B285" s="4"/>
      <c r="C285" s="162"/>
      <c r="D285" s="5"/>
      <c r="E285" s="5"/>
      <c r="F285" s="5"/>
      <c r="G285" s="5"/>
      <c r="H285" s="59"/>
      <c r="I285" s="59"/>
      <c r="J285" s="5"/>
      <c r="K285" s="6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customFormat="1">
      <c r="A286" s="23"/>
      <c r="B286" s="4"/>
      <c r="C286" s="162"/>
      <c r="D286" s="5"/>
      <c r="E286" s="5"/>
      <c r="F286" s="5"/>
      <c r="G286" s="5"/>
      <c r="H286" s="59"/>
      <c r="I286" s="59"/>
      <c r="J286" s="5"/>
      <c r="K286" s="6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customFormat="1">
      <c r="A287" s="23"/>
      <c r="B287" s="4"/>
      <c r="C287" s="162"/>
      <c r="D287" s="5"/>
      <c r="E287" s="5"/>
      <c r="F287" s="5"/>
      <c r="G287" s="5"/>
      <c r="H287" s="59"/>
      <c r="I287" s="59"/>
      <c r="J287" s="5"/>
      <c r="K287" s="6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customFormat="1">
      <c r="A288" s="23"/>
      <c r="B288" s="4"/>
      <c r="C288" s="162"/>
      <c r="D288" s="5"/>
      <c r="E288" s="5"/>
      <c r="F288" s="5"/>
      <c r="G288" s="5"/>
      <c r="H288" s="59"/>
      <c r="I288" s="59"/>
      <c r="J288" s="5"/>
      <c r="K288" s="6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customFormat="1">
      <c r="A289" s="23"/>
      <c r="B289" s="4"/>
      <c r="C289" s="162"/>
      <c r="D289" s="5"/>
      <c r="E289" s="5"/>
      <c r="F289" s="5"/>
      <c r="G289" s="5"/>
      <c r="H289" s="59"/>
      <c r="I289" s="59"/>
      <c r="J289" s="5"/>
      <c r="K289" s="6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customFormat="1">
      <c r="A290" s="23"/>
      <c r="B290" s="4"/>
      <c r="C290" s="162"/>
      <c r="D290" s="5"/>
      <c r="E290" s="5"/>
      <c r="F290" s="5"/>
      <c r="G290" s="5"/>
      <c r="H290" s="59"/>
      <c r="I290" s="59"/>
      <c r="J290" s="5"/>
      <c r="K290" s="6"/>
      <c r="L290" s="5"/>
      <c r="M290" s="5"/>
      <c r="N290" s="5"/>
      <c r="O290" s="5"/>
      <c r="P290" s="5"/>
      <c r="Q290" s="5"/>
      <c r="R290" s="5"/>
      <c r="S290" s="5"/>
      <c r="T290" s="5"/>
      <c r="U290" s="5"/>
    </row>
  </sheetData>
  <mergeCells count="6">
    <mergeCell ref="A1:T1"/>
    <mergeCell ref="A2:A3"/>
    <mergeCell ref="B2:B3"/>
    <mergeCell ref="C2:C3"/>
    <mergeCell ref="D2:K2"/>
    <mergeCell ref="P2:T2"/>
  </mergeCells>
  <pageMargins left="0.54" right="7.8740157480315001E-2" top="0.39370078740157499" bottom="0.59055118110236204" header="0.31496062992126" footer="0.31496062992126"/>
  <pageSetup paperSize="9" firstPageNumber="2" fitToHeight="2" orientation="portrait" useFirstPageNumber="1" r:id="rId1"/>
  <headerFooter>
    <oddFooter>&amp;L &amp;Csəh.&amp;P</oddFooter>
  </headerFooter>
  <rowBreaks count="5" manualBreakCount="5">
    <brk id="52" max="19" man="1"/>
    <brk id="108" max="16383" man="1"/>
    <brk id="157" max="16383" man="1"/>
    <brk id="206" max="16383" man="1"/>
    <brk id="255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>
    <pageSetUpPr fitToPage="1"/>
  </sheetPr>
  <dimension ref="A1:U52"/>
  <sheetViews>
    <sheetView tabSelected="1" view="pageBreakPreview" zoomScaleSheetLayoutView="100" workbookViewId="0">
      <pane xSplit="3" ySplit="3" topLeftCell="P19" activePane="bottomRight" state="frozenSplit"/>
      <selection activeCell="W14" sqref="W14"/>
      <selection pane="topRight" activeCell="W14" sqref="W14"/>
      <selection pane="bottomLeft" activeCell="W14" sqref="W14"/>
      <selection pane="bottomRight" activeCell="W42" sqref="W42"/>
    </sheetView>
  </sheetViews>
  <sheetFormatPr baseColWidth="10" defaultColWidth="9.1640625" defaultRowHeight="13" outlineLevelCol="1"/>
  <cols>
    <col min="1" max="1" width="4.83203125" style="23" customWidth="1"/>
    <col min="2" max="2" width="26.1640625" style="4" customWidth="1"/>
    <col min="3" max="3" width="10.5" style="162" customWidth="1"/>
    <col min="4" max="6" width="7.83203125" style="5" hidden="1" customWidth="1" outlineLevel="1"/>
    <col min="7" max="7" width="1.33203125" style="5" hidden="1" customWidth="1" collapsed="1"/>
    <col min="8" max="8" width="9.5" style="59" hidden="1" customWidth="1"/>
    <col min="9" max="9" width="9.33203125" style="59" hidden="1" customWidth="1"/>
    <col min="10" max="10" width="9.33203125" style="5" hidden="1" customWidth="1"/>
    <col min="11" max="11" width="10.83203125" style="6" hidden="1" customWidth="1"/>
    <col min="12" max="16" width="10.83203125" style="5" hidden="1" customWidth="1"/>
    <col min="17" max="20" width="10.83203125" style="5" customWidth="1"/>
    <col min="21" max="21" width="10.83203125" style="5" hidden="1" customWidth="1"/>
    <col min="22" max="16384" width="9.1640625" style="5"/>
  </cols>
  <sheetData>
    <row r="1" spans="1:21" customFormat="1" ht="27" customHeight="1">
      <c r="A1" s="242" t="s">
        <v>382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56"/>
      <c r="Q1" s="256"/>
      <c r="R1" s="256"/>
      <c r="S1" s="256"/>
      <c r="T1" s="234"/>
      <c r="U1" s="234"/>
    </row>
    <row r="2" spans="1:21" customFormat="1">
      <c r="A2" s="253" t="s">
        <v>0</v>
      </c>
      <c r="B2" s="240" t="s">
        <v>1</v>
      </c>
      <c r="C2" s="248" t="s">
        <v>2</v>
      </c>
      <c r="D2" s="250" t="s">
        <v>13</v>
      </c>
      <c r="E2" s="251"/>
      <c r="F2" s="251"/>
      <c r="G2" s="251"/>
      <c r="H2" s="251"/>
      <c r="I2" s="251"/>
      <c r="J2" s="251"/>
      <c r="K2" s="252"/>
      <c r="L2" s="235"/>
      <c r="M2" s="236"/>
      <c r="N2" s="236"/>
      <c r="O2" s="236"/>
      <c r="P2" s="239" t="s">
        <v>3</v>
      </c>
      <c r="Q2" s="240"/>
      <c r="R2" s="240"/>
      <c r="S2" s="240"/>
      <c r="T2" s="241"/>
      <c r="U2" s="238"/>
    </row>
    <row r="3" spans="1:21" customFormat="1">
      <c r="A3" s="254"/>
      <c r="B3" s="255"/>
      <c r="C3" s="249"/>
      <c r="D3" s="105">
        <f t="shared" ref="D3:K3" si="0">E3-1</f>
        <v>2013</v>
      </c>
      <c r="E3" s="106">
        <f t="shared" si="0"/>
        <v>2014</v>
      </c>
      <c r="F3" s="106">
        <f t="shared" si="0"/>
        <v>2015</v>
      </c>
      <c r="G3" s="106">
        <f t="shared" si="0"/>
        <v>2016</v>
      </c>
      <c r="H3" s="105">
        <f t="shared" si="0"/>
        <v>2017</v>
      </c>
      <c r="I3" s="105">
        <f t="shared" si="0"/>
        <v>2018</v>
      </c>
      <c r="J3" s="106">
        <f t="shared" si="0"/>
        <v>2019</v>
      </c>
      <c r="K3" s="208">
        <f t="shared" si="0"/>
        <v>2020</v>
      </c>
      <c r="L3" s="106">
        <f>M3-1</f>
        <v>2021</v>
      </c>
      <c r="M3" s="106">
        <v>2022</v>
      </c>
      <c r="N3" s="106">
        <v>2023</v>
      </c>
      <c r="O3" s="106">
        <v>2024</v>
      </c>
      <c r="P3" s="220">
        <v>2025</v>
      </c>
      <c r="Q3" s="221">
        <v>2026</v>
      </c>
      <c r="R3" s="221">
        <v>2027</v>
      </c>
      <c r="S3" s="221">
        <v>2028</v>
      </c>
      <c r="T3" s="218">
        <v>2029</v>
      </c>
      <c r="U3" s="218">
        <v>2030</v>
      </c>
    </row>
    <row r="4" spans="1:21" customFormat="1" ht="28">
      <c r="A4" s="126" t="s">
        <v>24</v>
      </c>
      <c r="B4" s="127" t="s">
        <v>66</v>
      </c>
      <c r="C4" s="165" t="s">
        <v>31</v>
      </c>
      <c r="D4" s="120">
        <v>5.3662644804234985</v>
      </c>
      <c r="E4" s="123">
        <v>5.3194067180555153</v>
      </c>
      <c r="F4" s="123">
        <v>6.1774663064845647</v>
      </c>
      <c r="G4" s="123">
        <v>5.6049462806908386</v>
      </c>
      <c r="H4" s="120">
        <v>5.6073953458493238</v>
      </c>
      <c r="I4" s="120">
        <f>I5/'2.4.1.1.'!I$4*100</f>
        <v>5.2125056185386809</v>
      </c>
      <c r="J4" s="123">
        <f>J5/'2.4.1.1.'!J$4*100</f>
        <v>5.6952581438455017</v>
      </c>
      <c r="K4" s="124">
        <f>K5/'2.4.1.1.'!K$4*100</f>
        <v>6.7389474235340971</v>
      </c>
      <c r="L4" s="123">
        <f>L5/'2.4.1.1.'!L$4*100</f>
        <v>5.7259407402320948</v>
      </c>
      <c r="M4" s="123">
        <f>M5/'2.4.1.1.'!M$4*100</f>
        <v>4.6122091687726634</v>
      </c>
      <c r="N4" s="123">
        <f>N5/'2.4.1.1.'!N$4*100</f>
        <v>5.5105874692647143</v>
      </c>
      <c r="O4" s="123">
        <f>O5/'2.4.1.1.'!O$4*100</f>
        <v>5.6571704567467362</v>
      </c>
      <c r="P4" s="120">
        <f>P5/'2.4.1.1.'!P$4*100</f>
        <v>5.8751386698177726</v>
      </c>
      <c r="Q4" s="123">
        <f>Q5/'2.4.1.1.'!Q$4*100</f>
        <v>5.9763589529763079</v>
      </c>
      <c r="R4" s="123">
        <f>R5/'2.4.1.1.'!R$4*100</f>
        <v>5.9023475972933186</v>
      </c>
      <c r="S4" s="123">
        <f>S5/'2.4.1.1.'!S$4*100</f>
        <v>5.7852690286840627</v>
      </c>
      <c r="T4" s="124">
        <f>T5/'2.4.1.1.'!T$4*100</f>
        <v>5.5831601652713667</v>
      </c>
      <c r="U4" s="124">
        <f>U5/'2.4.1.1.'!U$4*100</f>
        <v>5.4333300383074361</v>
      </c>
    </row>
    <row r="5" spans="1:21" customFormat="1" ht="14">
      <c r="A5" s="66"/>
      <c r="B5" s="23" t="s">
        <v>72</v>
      </c>
      <c r="C5" s="166" t="s">
        <v>12</v>
      </c>
      <c r="D5" s="59">
        <v>3122.2</v>
      </c>
      <c r="E5" s="5">
        <v>3139.2</v>
      </c>
      <c r="F5" s="5">
        <v>3359.3</v>
      </c>
      <c r="G5" s="5">
        <v>3386.8</v>
      </c>
      <c r="H5" s="59">
        <v>3944.12</v>
      </c>
      <c r="I5" s="59">
        <f>'2.4.1.2.'!I7</f>
        <v>4174.8</v>
      </c>
      <c r="J5" s="5">
        <f>'2.4.1.2.'!J7</f>
        <v>4664.2</v>
      </c>
      <c r="K5" s="6">
        <f>'2.4.1.2.'!K7</f>
        <v>4891</v>
      </c>
      <c r="L5" s="5">
        <f>'2.4.1.2.'!L7</f>
        <v>5336.76</v>
      </c>
      <c r="M5" s="5">
        <f>'2.4.1.2.'!M7</f>
        <v>6179.1</v>
      </c>
      <c r="N5" s="5">
        <f>'2.4.1.2.'!N7</f>
        <v>6785.1</v>
      </c>
      <c r="O5" s="5">
        <f>'2.4.1.2.'!O7</f>
        <v>7147.1</v>
      </c>
      <c r="P5" s="59">
        <f>'2.4.1.2.'!P7</f>
        <v>7528.0627073425712</v>
      </c>
      <c r="Q5" s="5">
        <f>'2.4.1.2.'!Q7</f>
        <v>7772.6172052259508</v>
      </c>
      <c r="R5" s="5">
        <f>'2.4.1.2.'!R7</f>
        <v>8111.1767774479176</v>
      </c>
      <c r="S5" s="5">
        <f>'2.4.1.2.'!S7</f>
        <v>8486.5874727197242</v>
      </c>
      <c r="T5" s="6">
        <f>'2.4.1.2.'!T7</f>
        <v>8898.0131175508322</v>
      </c>
      <c r="U5" s="6">
        <f>'2.4.1.2.'!U7</f>
        <v>9149.3444787941826</v>
      </c>
    </row>
    <row r="6" spans="1:21" customFormat="1" ht="14">
      <c r="A6" s="66"/>
      <c r="B6" s="23" t="s">
        <v>16</v>
      </c>
      <c r="C6" s="166" t="s">
        <v>6</v>
      </c>
      <c r="D6" s="59">
        <v>4.8499999999999996</v>
      </c>
      <c r="E6" s="5">
        <v>-2.5999999999999943</v>
      </c>
      <c r="F6" s="5">
        <v>6.6</v>
      </c>
      <c r="G6" s="5">
        <v>2.6</v>
      </c>
      <c r="H6" s="59">
        <v>4.2</v>
      </c>
      <c r="I6" s="59">
        <f>'2.4.1.2.'!I9</f>
        <v>4.5999999999999996</v>
      </c>
      <c r="J6" s="5">
        <f>'2.4.1.2.'!J9</f>
        <v>7.25</v>
      </c>
      <c r="K6" s="6">
        <f>'2.4.1.2.'!K9</f>
        <v>1.9490000000000001</v>
      </c>
      <c r="L6" s="5">
        <f>'2.4.1.2.'!L9</f>
        <v>3.3</v>
      </c>
      <c r="M6" s="5">
        <f>'2.4.1.2.'!M9</f>
        <v>3.4</v>
      </c>
      <c r="N6" s="5">
        <f>'2.4.1.2.'!N9</f>
        <v>2.96</v>
      </c>
      <c r="O6" s="5">
        <f>'2.4.1.2.'!O9</f>
        <v>1.4</v>
      </c>
      <c r="P6" s="59">
        <f>'2.4.1.2.'!P9</f>
        <v>2.3377664791054191</v>
      </c>
      <c r="Q6" s="5">
        <f>'2.4.1.2.'!Q9</f>
        <v>3.1433240102374498</v>
      </c>
      <c r="R6" s="5">
        <f>'2.4.1.2.'!R9</f>
        <v>2.8338064033419652</v>
      </c>
      <c r="S6" s="5">
        <f>'2.4.1.2.'!S9</f>
        <v>2.9290520926088845</v>
      </c>
      <c r="T6" s="6">
        <f>'2.4.1.2.'!T9</f>
        <v>3.0185256417065567</v>
      </c>
      <c r="U6" s="6">
        <f>'2.4.1.2.'!U9</f>
        <v>1.0872394224465143</v>
      </c>
    </row>
    <row r="7" spans="1:21" customFormat="1" ht="14">
      <c r="A7" s="66"/>
      <c r="B7" s="23" t="s">
        <v>56</v>
      </c>
      <c r="C7" s="166" t="s">
        <v>6</v>
      </c>
      <c r="D7" s="59">
        <v>5.8313884841233232</v>
      </c>
      <c r="E7" s="5">
        <v>3.2284269621391815</v>
      </c>
      <c r="F7" s="5">
        <v>0.38587286014002586</v>
      </c>
      <c r="G7" s="5">
        <v>-1.7362349635520644</v>
      </c>
      <c r="H7" s="60">
        <v>11.761661566515301</v>
      </c>
      <c r="I7" s="59">
        <f>'2.4.1.2.'!I10</f>
        <v>1.1943051370435285</v>
      </c>
      <c r="J7" s="5">
        <f>'2.4.1.2.'!J10</f>
        <v>4.1703657397822411</v>
      </c>
      <c r="K7" s="6">
        <f>'2.4.1.2.'!K10</f>
        <v>2.8578703230884344</v>
      </c>
      <c r="L7" s="5">
        <f>'2.4.1.2.'!L10</f>
        <v>5.6281535736559647</v>
      </c>
      <c r="M7" s="5">
        <f>'2.4.1.2.'!M10</f>
        <v>11.976531867443455</v>
      </c>
      <c r="N7" s="5">
        <f>'2.4.1.2.'!N10</f>
        <v>6.6504015962674856</v>
      </c>
      <c r="O7" s="5">
        <f>'2.4.1.2.'!O10</f>
        <v>3.8808873963505732</v>
      </c>
      <c r="P7" s="59">
        <f>'2.4.1.2.'!P10</f>
        <v>2.9241846109209035</v>
      </c>
      <c r="Q7" s="5">
        <f>'2.4.1.2.'!Q10</f>
        <v>0.10204001839066734</v>
      </c>
      <c r="R7" s="5">
        <f>'2.4.1.2.'!R10</f>
        <v>1.4800506931218536</v>
      </c>
      <c r="S7" s="5">
        <f>'2.4.1.2.'!S10</f>
        <v>1.650905590123017</v>
      </c>
      <c r="T7" s="6">
        <f>'2.4.1.2.'!T10</f>
        <v>1.77582221124662</v>
      </c>
      <c r="U7" s="6">
        <f>'2.4.1.2.'!U10</f>
        <v>1.7186531556838247</v>
      </c>
    </row>
    <row r="8" spans="1:21" customFormat="1" ht="28">
      <c r="A8" s="117" t="s">
        <v>25</v>
      </c>
      <c r="B8" s="125" t="s">
        <v>195</v>
      </c>
      <c r="C8" s="167" t="s">
        <v>31</v>
      </c>
      <c r="D8" s="118">
        <v>45.446445292358462</v>
      </c>
      <c r="E8" s="119">
        <v>40.955163257594371</v>
      </c>
      <c r="F8" s="119">
        <v>32.939624941212735</v>
      </c>
      <c r="G8" s="119">
        <v>37.121436315703185</v>
      </c>
      <c r="H8" s="120">
        <v>40.104205378278422</v>
      </c>
      <c r="I8" s="118">
        <f>I9/'2.4.1.1.'!I$4*100</f>
        <v>44.530165309893619</v>
      </c>
      <c r="J8" s="119">
        <f>J9/'2.4.1.1.'!J$4*100</f>
        <v>41.376645070223034</v>
      </c>
      <c r="K8" s="121">
        <f>K9/'2.4.1.1.'!K$4*100</f>
        <v>34.077221641238886</v>
      </c>
      <c r="L8" s="119">
        <f>L9/'2.4.1.1.'!L$4*100</f>
        <v>42.870480841859496</v>
      </c>
      <c r="M8" s="119">
        <f>M9/'2.4.1.1.'!M$4*100</f>
        <v>51.303435569977239</v>
      </c>
      <c r="N8" s="119">
        <f>N9/'2.4.1.1.'!N$4*100</f>
        <v>39.641317452647186</v>
      </c>
      <c r="O8" s="119">
        <f>O9/'2.4.1.1.'!O$4*100</f>
        <v>35.901284932975123</v>
      </c>
      <c r="P8" s="118">
        <f>P9/'2.4.1.1.'!P$4*100</f>
        <v>32.787058734747866</v>
      </c>
      <c r="Q8" s="119">
        <f>Q9/'2.4.1.1.'!Q$4*100</f>
        <v>29.970783551992596</v>
      </c>
      <c r="R8" s="119">
        <f>R9/'2.4.1.1.'!R$4*100</f>
        <v>28.595685583949574</v>
      </c>
      <c r="S8" s="119">
        <f>S9/'2.4.1.1.'!S$4*100</f>
        <v>27.043571690878487</v>
      </c>
      <c r="T8" s="121">
        <f>T9/'2.4.1.1.'!T$4*100</f>
        <v>26.662111452070807</v>
      </c>
      <c r="U8" s="121">
        <f>U9/'2.4.1.1.'!U$4*100</f>
        <v>25.521462746906749</v>
      </c>
    </row>
    <row r="9" spans="1:21" customFormat="1" ht="14">
      <c r="A9" s="66"/>
      <c r="B9" s="23" t="s">
        <v>72</v>
      </c>
      <c r="C9" s="166" t="s">
        <v>12</v>
      </c>
      <c r="D9" s="59">
        <v>26441.650799999999</v>
      </c>
      <c r="E9" s="5">
        <v>24169.120999999999</v>
      </c>
      <c r="F9" s="5">
        <v>17912.535103406546</v>
      </c>
      <c r="G9" s="5">
        <v>22430.702136636279</v>
      </c>
      <c r="H9" s="59">
        <v>28208.426329999995</v>
      </c>
      <c r="I9" s="59">
        <f>'[1]ÜDM sahələr üzrə'!AC12</f>
        <v>35665.1</v>
      </c>
      <c r="J9" s="5">
        <f>'[1]ÜDM sahələr üzrə'!AD12</f>
        <v>33885.899999999994</v>
      </c>
      <c r="K9" s="6">
        <f>'[1]ÜDM sahələr üzrə'!AE12</f>
        <v>24732.6</v>
      </c>
      <c r="L9" s="5">
        <f>'[1]ÜDM sahələr üzrə'!AF12</f>
        <v>39956.659999999996</v>
      </c>
      <c r="M9" s="5">
        <f>'[1]ÜDM sahələr üzrə'!AG12</f>
        <v>68732.585000000006</v>
      </c>
      <c r="N9" s="5">
        <f>'[1]ÜDM sahələr üzrə'!AH12</f>
        <v>48809.733</v>
      </c>
      <c r="O9" s="5">
        <f>'[1]ÜDM sahələr üzrə'!AI12</f>
        <v>45356.609899999996</v>
      </c>
      <c r="P9" s="59">
        <f>'[1]ÜDM sahələr üzrə'!AJ12</f>
        <v>42011.439732053434</v>
      </c>
      <c r="Q9" s="5">
        <f>'[1]ÜDM sahələr üzrə'!AK12</f>
        <v>38978.821339756978</v>
      </c>
      <c r="R9" s="5">
        <f>'[1]ÜDM sahələr üzrə'!AL12</f>
        <v>39297.018181392523</v>
      </c>
      <c r="S9" s="5">
        <f>'[1]ÜDM sahələr üzrə'!AM12</f>
        <v>39671.039599278884</v>
      </c>
      <c r="T9" s="6">
        <f>'[1]ÜDM sahələr üzrə'!AN12</f>
        <v>42492.031469528403</v>
      </c>
      <c r="U9" s="6">
        <f>'[1]ÜDM sahələr üzrə'!AO12</f>
        <v>42976.342800427941</v>
      </c>
    </row>
    <row r="10" spans="1:21" customFormat="1" ht="14">
      <c r="A10" s="66"/>
      <c r="B10" s="23" t="s">
        <v>16</v>
      </c>
      <c r="C10" s="166" t="s">
        <v>6</v>
      </c>
      <c r="D10" s="59">
        <v>1.135351948852545</v>
      </c>
      <c r="E10" s="5">
        <v>-1.6997542740031832</v>
      </c>
      <c r="F10" s="5">
        <v>1.5821082463210843</v>
      </c>
      <c r="G10" s="5">
        <v>0.38572824992041888</v>
      </c>
      <c r="H10" s="102">
        <v>-4.0699059293640261</v>
      </c>
      <c r="I10" s="59">
        <f>'[1]ÜDM sahələr üzrə'!AC14</f>
        <v>1.2571434280447293</v>
      </c>
      <c r="J10" s="5">
        <f>'[1]ÜDM sahələr üzrə'!AD14</f>
        <v>1.6985953033077164</v>
      </c>
      <c r="K10" s="6">
        <f>'[1]ÜDM sahələr üzrə'!AE14</f>
        <v>-4.5215475374713252</v>
      </c>
      <c r="L10" s="5">
        <f>'[1]ÜDM sahələr üzrə'!AF14</f>
        <v>4.2815778971883374</v>
      </c>
      <c r="M10" s="5">
        <f>'[1]ÜDM sahələr üzrə'!AG14</f>
        <v>-1.3769180489560389</v>
      </c>
      <c r="N10" s="5">
        <f>'[1]ÜDM sahələr üzrə'!AH14</f>
        <v>-1.6960597897634886</v>
      </c>
      <c r="O10" s="5">
        <f>'[1]ÜDM sahələr üzrə'!AI14</f>
        <v>0.94674975993005062</v>
      </c>
      <c r="P10" s="59">
        <f>'[1]ÜDM sahələr üzrə'!AJ14</f>
        <v>1.1095726131744321</v>
      </c>
      <c r="Q10" s="5">
        <f>'[1]ÜDM sahələr üzrə'!AK14</f>
        <v>-0.55733166544826274</v>
      </c>
      <c r="R10" s="5">
        <f>'[1]ÜDM sahələr üzrə'!AL14</f>
        <v>0.49366371945722098</v>
      </c>
      <c r="S10" s="5">
        <f>'[1]ÜDM sahələr üzrə'!AM14</f>
        <v>0.28162699589832962</v>
      </c>
      <c r="T10" s="6">
        <f>'[1]ÜDM sahələr üzrə'!AN14</f>
        <v>5.7586611393874652</v>
      </c>
      <c r="U10" s="6">
        <f>'[1]ÜDM sahələr üzrə'!AO14</f>
        <v>-0.39202719407839098</v>
      </c>
    </row>
    <row r="11" spans="1:21" customFormat="1" ht="14">
      <c r="A11" s="67"/>
      <c r="B11" s="24" t="s">
        <v>56</v>
      </c>
      <c r="C11" s="168" t="s">
        <v>6</v>
      </c>
      <c r="D11" s="60">
        <v>-3.4288445920090282</v>
      </c>
      <c r="E11" s="10">
        <v>-7.0139740753142945</v>
      </c>
      <c r="F11" s="10">
        <v>-26.040982565952973</v>
      </c>
      <c r="G11" s="10">
        <v>24.742326580529152</v>
      </c>
      <c r="H11" s="60">
        <v>31.09348837162662</v>
      </c>
      <c r="I11" s="60">
        <f>'[1]ÜDM sahələr üzrə'!AC15</f>
        <v>24.864154797852194</v>
      </c>
      <c r="J11" s="10">
        <f>'[1]ÜDM sahələr üzrə'!AD15</f>
        <v>-6.575533934436578</v>
      </c>
      <c r="K11" s="11">
        <f>'[1]ÜDM sahələr üzrə'!AE15</f>
        <v>-23.555652576900016</v>
      </c>
      <c r="L11" s="10">
        <f>'[1]ÜDM sahələr üzrə'!AF15</f>
        <v>54.921541812131636</v>
      </c>
      <c r="M11" s="10">
        <f>'[1]ÜDM sahələr üzrə'!AG15</f>
        <v>74.419456815578769</v>
      </c>
      <c r="N11" s="10">
        <f>'[1]ÜDM sahələr üzrə'!AH15</f>
        <v>-27.660816500890142</v>
      </c>
      <c r="O11" s="10">
        <f>'[1]ÜDM sahələr üzrə'!AI15</f>
        <v>-7.9461802260235288</v>
      </c>
      <c r="P11" s="60">
        <f>'[1]ÜDM sahələr üzrə'!AJ15</f>
        <v>-8.3917253114829293</v>
      </c>
      <c r="Q11" s="10">
        <f>'[1]ÜDM sahələr üzrə'!AK15</f>
        <v>-6.6985553357081642</v>
      </c>
      <c r="R11" s="10">
        <f>'[1]ÜDM sahələr üzrə'!AL15</f>
        <v>0.32108384698376824</v>
      </c>
      <c r="S11" s="10">
        <f>'[1]ÜDM sahələr üzrə'!AM15</f>
        <v>0.66827162793930484</v>
      </c>
      <c r="T11" s="11">
        <f>'[1]ÜDM sahələr üzrə'!AN15</f>
        <v>1.2786651516601921</v>
      </c>
      <c r="U11" s="11">
        <f>'[1]ÜDM sahələr üzrə'!AO15</f>
        <v>1.5378256625230335</v>
      </c>
    </row>
    <row r="12" spans="1:21" customFormat="1" ht="28">
      <c r="A12" s="68" t="s">
        <v>32</v>
      </c>
      <c r="B12" s="25" t="s">
        <v>196</v>
      </c>
      <c r="C12" s="169" t="s">
        <v>31</v>
      </c>
      <c r="D12" s="40">
        <v>40.868481660994803</v>
      </c>
      <c r="E12" s="18">
        <v>36.271331766476145</v>
      </c>
      <c r="F12" s="18">
        <v>28.286554407051135</v>
      </c>
      <c r="G12" s="18">
        <v>32.358419996954915</v>
      </c>
      <c r="H12" s="40">
        <v>35.550487276481071</v>
      </c>
      <c r="I12" s="40">
        <f>I13/'2.4.1.1.'!I$4*100</f>
        <v>40.243345153073967</v>
      </c>
      <c r="J12" s="18">
        <f>J13/'2.4.1.1.'!J$4*100</f>
        <v>36.695109174784669</v>
      </c>
      <c r="K12" s="19">
        <f>K13/'2.4.1.1.'!K$4*100</f>
        <v>28.131764264978003</v>
      </c>
      <c r="L12" s="18">
        <f>L13/'2.4.1.1.'!L$4*100</f>
        <v>37.017398544255983</v>
      </c>
      <c r="M12" s="18">
        <f>M13/'2.4.1.1.'!M$4*100</f>
        <v>46.644228011420992</v>
      </c>
      <c r="N12" s="18">
        <f>N13/'2.4.1.1.'!N$4*100</f>
        <v>34.33479901429429</v>
      </c>
      <c r="O12" s="18">
        <f>O13/'2.4.1.1.'!O$4*100</f>
        <v>30.583357980835036</v>
      </c>
      <c r="P12" s="40">
        <f>P13/'2.4.1.1.'!P$4*100</f>
        <v>26.98058518494333</v>
      </c>
      <c r="Q12" s="18">
        <f>Q13/'2.4.1.1.'!Q$4*100</f>
        <v>23.654187182318196</v>
      </c>
      <c r="R12" s="18">
        <f>R13/'2.4.1.1.'!R$4*100</f>
        <v>22.02042479674758</v>
      </c>
      <c r="S12" s="18">
        <f>S13/'2.4.1.1.'!S$4*100</f>
        <v>19.939956895043295</v>
      </c>
      <c r="T12" s="19">
        <f>T13/'2.4.1.1.'!T$4*100</f>
        <v>19.327000080262064</v>
      </c>
      <c r="U12" s="19">
        <f>U13/'2.4.1.1.'!U$4*100</f>
        <v>18.308986532121178</v>
      </c>
    </row>
    <row r="13" spans="1:21" customFormat="1" ht="14">
      <c r="A13" s="66"/>
      <c r="B13" s="23" t="s">
        <v>72</v>
      </c>
      <c r="C13" s="166" t="s">
        <v>12</v>
      </c>
      <c r="D13" s="59">
        <v>23778.1</v>
      </c>
      <c r="E13" s="5">
        <v>21405.199999999997</v>
      </c>
      <c r="F13" s="5">
        <v>15382.199999999999</v>
      </c>
      <c r="G13" s="5">
        <v>19552.64</v>
      </c>
      <c r="H13" s="59">
        <v>25005.439999999999</v>
      </c>
      <c r="I13" s="59">
        <f>'[1]ÜDM sahələr üzrə'!AC71</f>
        <v>32231.7</v>
      </c>
      <c r="J13" s="5">
        <f>'[1]ÜDM sahələr üzrə'!AD71</f>
        <v>30051.9</v>
      </c>
      <c r="K13" s="6">
        <f>'[1]ÜDM sahələr üzrə'!AE71</f>
        <v>20417.5</v>
      </c>
      <c r="L13" s="5">
        <f>'[1]ÜDM sahələr üzrə'!AF71</f>
        <v>34501.4</v>
      </c>
      <c r="M13" s="5">
        <f>'[1]ÜDM sahələr üzrə'!AG71</f>
        <v>62490.520000000004</v>
      </c>
      <c r="N13" s="5">
        <f>'[1]ÜDM sahələr üzrə'!AH71</f>
        <v>42275.9</v>
      </c>
      <c r="O13" s="5">
        <f>'[1]ÜDM sahələr üzrə'!AI71</f>
        <v>38638.1</v>
      </c>
      <c r="P13" s="59">
        <f>'[1]ÜDM sahələr üzrə'!AJ71</f>
        <v>34571.360535963518</v>
      </c>
      <c r="Q13" s="5">
        <f>'[1]ÜDM sahələr üzrə'!AK71</f>
        <v>30763.704743229875</v>
      </c>
      <c r="R13" s="5">
        <f>'[1]ÜDM sahələr üzrə'!AL71</f>
        <v>30261.104636200082</v>
      </c>
      <c r="S13" s="5">
        <f>'[1]ÜDM sahələr üzrə'!AM71</f>
        <v>29250.530537650309</v>
      </c>
      <c r="T13" s="6">
        <f>'[1]ÜDM sahələr üzrə'!AN71</f>
        <v>30801.892681994948</v>
      </c>
      <c r="U13" s="6">
        <f>'[1]ÜDM sahələr üzrə'!AO71</f>
        <v>30831.041674060252</v>
      </c>
    </row>
    <row r="14" spans="1:21" customFormat="1" ht="14">
      <c r="A14" s="66"/>
      <c r="B14" s="23" t="s">
        <v>16</v>
      </c>
      <c r="C14" s="166" t="s">
        <v>6</v>
      </c>
      <c r="D14" s="59">
        <v>0.90285984979969669</v>
      </c>
      <c r="E14" s="5">
        <v>-2.865619624780777</v>
      </c>
      <c r="F14" s="5">
        <v>0.57709388372919079</v>
      </c>
      <c r="G14" s="5">
        <v>0.10223830141330836</v>
      </c>
      <c r="H14" s="59">
        <v>-5.3363258669928655</v>
      </c>
      <c r="I14" s="59">
        <f>'[1]ÜDM sahələr üzrə'!AC73</f>
        <v>0.53620885888648051</v>
      </c>
      <c r="J14" s="5">
        <f>'[1]ÜDM sahələr üzrə'!AD73</f>
        <v>0.42074392601072858</v>
      </c>
      <c r="K14" s="6">
        <f>'[1]ÜDM sahələr üzrə'!AE73</f>
        <v>-6.5034878659918336</v>
      </c>
      <c r="L14" s="5">
        <f>'[1]ÜDM sahələr üzrə'!AF73</f>
        <v>1.3975483923105179</v>
      </c>
      <c r="M14" s="5">
        <f>'[1]ÜDM sahələr üzrə'!AG73</f>
        <v>-2.4821615905441523</v>
      </c>
      <c r="N14" s="5">
        <f>'[1]ÜDM sahələr üzrə'!AH73</f>
        <v>-2.5022281779700344</v>
      </c>
      <c r="O14" s="5">
        <f>'[1]ÜDM sahələr üzrə'!AI73</f>
        <v>0.32330242525883529</v>
      </c>
      <c r="P14" s="59">
        <f>'[1]ÜDM sahələr üzrə'!AJ73</f>
        <v>-0.19901236074376352</v>
      </c>
      <c r="Q14" s="5">
        <f>'[1]ÜDM sahələr üzrə'!AK73</f>
        <v>-2.41385501340006</v>
      </c>
      <c r="R14" s="5">
        <f>'[1]ÜDM sahələr üzrə'!AL73</f>
        <v>-1.2634050552060903</v>
      </c>
      <c r="S14" s="5">
        <f>'[1]ÜDM sahələr üzrə'!AM73</f>
        <v>-3.2096868300091179</v>
      </c>
      <c r="T14" s="6">
        <f>'[1]ÜDM sahələr üzrə'!AN73</f>
        <v>4.6551204323813939</v>
      </c>
      <c r="U14" s="6">
        <f>'[1]ÜDM sahələr üzrə'!AO73</f>
        <v>-1.0913632743561281</v>
      </c>
    </row>
    <row r="15" spans="1:21" customFormat="1" ht="14">
      <c r="A15" s="66"/>
      <c r="B15" s="23" t="s">
        <v>56</v>
      </c>
      <c r="C15" s="166" t="s">
        <v>6</v>
      </c>
      <c r="D15" s="59">
        <v>-3.765061789143175</v>
      </c>
      <c r="E15" s="5">
        <v>-7.3235975715866317</v>
      </c>
      <c r="F15" s="5">
        <v>-28.450354073169784</v>
      </c>
      <c r="G15" s="5">
        <v>26.982292063804849</v>
      </c>
      <c r="H15" s="60">
        <v>35.097010919452117</v>
      </c>
      <c r="I15" s="59">
        <f>'[1]ÜDM sahələr üzrə'!AC74</f>
        <v>28.211476529847573</v>
      </c>
      <c r="J15" s="5">
        <f>'[1]ÜDM sahələr üzrə'!AD74</f>
        <v>-7.1535531099626439</v>
      </c>
      <c r="K15" s="6">
        <f>'[1]ÜDM sahələr üzrə'!AE74</f>
        <v>-27.333336606936712</v>
      </c>
      <c r="L15" s="5">
        <f>'[1]ÜDM sahələr üzrə'!AF74</f>
        <v>66.650530051514409</v>
      </c>
      <c r="M15" s="5">
        <f>'[1]ÜDM sahələr üzrə'!AG74</f>
        <v>85.734830672761717</v>
      </c>
      <c r="N15" s="5">
        <f>'[1]ÜDM sahələr üzrə'!AH74</f>
        <v>-30.612053849230904</v>
      </c>
      <c r="O15" s="5">
        <f>'[1]ÜDM sahələr üzrə'!AI74</f>
        <v>-8.8994328996358831</v>
      </c>
      <c r="P15" s="59">
        <f>'[1]ÜDM sahələr üzrə'!AJ74</f>
        <v>-10.346784617262259</v>
      </c>
      <c r="Q15" s="5">
        <f>'[1]ÜDM sahələr üzrə'!AK74</f>
        <v>-8.8127746566814409</v>
      </c>
      <c r="R15" s="5">
        <f>'[1]ÜDM sahələr üzrə'!AL74</f>
        <v>-0.37507745374367119</v>
      </c>
      <c r="S15" s="5">
        <f>'[1]ÜDM sahələr üzrə'!AM74</f>
        <v>-0.13413333090259982</v>
      </c>
      <c r="T15" s="6">
        <f>'[1]ÜDM sahələr üzrə'!AN74</f>
        <v>0.6197361094216518</v>
      </c>
      <c r="U15" s="6">
        <f>'[1]ÜDM sahələr üzrə'!AO74</f>
        <v>1.1990833995223227</v>
      </c>
    </row>
    <row r="16" spans="1:21" customFormat="1" ht="28">
      <c r="A16" s="69" t="s">
        <v>33</v>
      </c>
      <c r="B16" s="26" t="s">
        <v>405</v>
      </c>
      <c r="C16" s="170" t="s">
        <v>31</v>
      </c>
      <c r="D16" s="65">
        <v>4.5779636313636587</v>
      </c>
      <c r="E16" s="20">
        <v>4.6838314911182266</v>
      </c>
      <c r="F16" s="20">
        <v>4.6530705341615999</v>
      </c>
      <c r="G16" s="20">
        <v>4.7630163187482708</v>
      </c>
      <c r="H16" s="40">
        <v>4.5537181017973509</v>
      </c>
      <c r="I16" s="65">
        <f>I17/'2.4.1.1.'!I$4*100</f>
        <v>4.286745242970583</v>
      </c>
      <c r="J16" s="20">
        <f>J17/'2.4.1.1.'!J$4*100</f>
        <v>4.6815114742808586</v>
      </c>
      <c r="K16" s="21">
        <f>K17/'2.4.1.1.'!K$4*100</f>
        <v>5.9454849327827546</v>
      </c>
      <c r="L16" s="20">
        <f>L17/'2.4.1.1.'!L$4*100</f>
        <v>5.8529106296779512</v>
      </c>
      <c r="M16" s="20">
        <f>M17/'2.4.1.1.'!M$4*100</f>
        <v>4.6592075585562513</v>
      </c>
      <c r="N16" s="20">
        <f>N17/'2.4.1.1.'!N$4*100</f>
        <v>5.3065184383529038</v>
      </c>
      <c r="O16" s="20">
        <f>O17/'2.4.1.1.'!O$4*100</f>
        <v>5.3179269521400947</v>
      </c>
      <c r="P16" s="65">
        <f>P17/'2.4.1.1.'!P$4*100</f>
        <v>5.8064735498045401</v>
      </c>
      <c r="Q16" s="20">
        <f>Q17/'2.4.1.1.'!Q$4*100</f>
        <v>6.3165963696744001</v>
      </c>
      <c r="R16" s="20">
        <f>R17/'2.4.1.1.'!R$4*100</f>
        <v>6.5752607872019944</v>
      </c>
      <c r="S16" s="20">
        <f>S17/'2.4.1.1.'!S$4*100</f>
        <v>7.103614795835191</v>
      </c>
      <c r="T16" s="21">
        <f>T17/'2.4.1.1.'!T$4*100</f>
        <v>7.3351113718087433</v>
      </c>
      <c r="U16" s="21">
        <f>U17/'2.4.1.1.'!U$4*100</f>
        <v>7.2124762147855668</v>
      </c>
    </row>
    <row r="17" spans="1:21" customFormat="1" ht="14">
      <c r="A17" s="66"/>
      <c r="B17" s="23" t="s">
        <v>72</v>
      </c>
      <c r="C17" s="166" t="s">
        <v>12</v>
      </c>
      <c r="D17" s="59">
        <v>2663.5508000000009</v>
      </c>
      <c r="E17" s="5">
        <v>2763.9210000000021</v>
      </c>
      <c r="F17" s="5">
        <v>2530.3351034065472</v>
      </c>
      <c r="G17" s="5">
        <v>2878.0621366362793</v>
      </c>
      <c r="H17" s="59">
        <v>3202.9863299999961</v>
      </c>
      <c r="I17" s="59">
        <f>'[1]ÜDM sahələr üzrə'!AC20</f>
        <v>3433.3399999999997</v>
      </c>
      <c r="J17" s="5">
        <f>'[1]ÜDM sahələr üzrə'!AD20</f>
        <v>3833.98</v>
      </c>
      <c r="K17" s="6">
        <f>'[1]ÜDM sahələr üzrə'!AE20</f>
        <v>4315.12</v>
      </c>
      <c r="L17" s="5">
        <f>'[1]ÜDM sahələr üzrə'!AF20</f>
        <v>5455.1</v>
      </c>
      <c r="M17" s="5">
        <f>'[1]ÜDM sahələr üzrə'!AG20</f>
        <v>6242.0650000000005</v>
      </c>
      <c r="N17" s="5">
        <f>'[1]ÜDM sahələr üzrə'!AH20</f>
        <v>6533.8330000000014</v>
      </c>
      <c r="O17" s="5">
        <f>'[1]ÜDM sahələr üzrə'!AI20</f>
        <v>6718.5099</v>
      </c>
      <c r="P17" s="59">
        <f>'[1]ÜDM sahələr üzrə'!AJ20</f>
        <v>7440.0791960899169</v>
      </c>
      <c r="Q17" s="5">
        <f>'[1]ÜDM sahələr üzrə'!AK20</f>
        <v>8215.1165965271066</v>
      </c>
      <c r="R17" s="5">
        <f>'[1]ÜDM sahələr üzrə'!AL20</f>
        <v>9035.9135451924376</v>
      </c>
      <c r="S17" s="5">
        <f>'[1]ÜDM sahələr üzrə'!AM20</f>
        <v>10420.509061628574</v>
      </c>
      <c r="T17" s="6">
        <f>'[1]ÜDM sahələr üzrə'!AN20</f>
        <v>11690.138787533451</v>
      </c>
      <c r="U17" s="6">
        <f>'[1]ÜDM sahələr üzrə'!AO20</f>
        <v>12145.301126367685</v>
      </c>
    </row>
    <row r="18" spans="1:21" customFormat="1" ht="14">
      <c r="A18" s="66"/>
      <c r="B18" s="23" t="s">
        <v>16</v>
      </c>
      <c r="C18" s="166" t="s">
        <v>6</v>
      </c>
      <c r="D18" s="59">
        <v>3.4370232925076523</v>
      </c>
      <c r="E18" s="5">
        <v>8.7081804638380333</v>
      </c>
      <c r="F18" s="5">
        <v>5.8</v>
      </c>
      <c r="G18" s="5">
        <v>2.1090964631090401</v>
      </c>
      <c r="H18" s="59">
        <v>4.533748875052197</v>
      </c>
      <c r="I18" s="59">
        <f>'[1]ÜDM sahələr üzrə'!AC22</f>
        <v>6.8853759847896878</v>
      </c>
      <c r="J18" s="5">
        <f>'[1]ÜDM sahələr üzrə'!AD22</f>
        <v>13.696947972528228</v>
      </c>
      <c r="K18" s="6">
        <f>'[1]ÜDM sahələr üzrə'!AE22</f>
        <v>11.014783410450754</v>
      </c>
      <c r="L18" s="5">
        <f>'[1]ÜDM sahələr üzrə'!AF22</f>
        <v>17.927452585327906</v>
      </c>
      <c r="M18" s="5">
        <f>'[1]ÜDM sahələr üzrə'!AG22</f>
        <v>5.6141965445179425</v>
      </c>
      <c r="N18" s="5">
        <f>'[1]ÜDM sahələr üzrə'!AH22</f>
        <v>6.3746478665313742</v>
      </c>
      <c r="O18" s="5">
        <f>'[1]ÜDM sahələr üzrə'!AI22</f>
        <v>4.9806448986375651</v>
      </c>
      <c r="P18" s="59">
        <f>'[1]ÜDM sahələr üzrə'!AJ22</f>
        <v>8.6352349748163544</v>
      </c>
      <c r="Q18" s="5">
        <f>'[1]ÜDM sahələr üzrə'!AK22</f>
        <v>8.0692617233971369</v>
      </c>
      <c r="R18" s="5">
        <f>'[1]ÜDM sahələr üzrə'!AL22</f>
        <v>7.0734784259389247</v>
      </c>
      <c r="S18" s="5">
        <f>'[1]ÜDM sahələr üzrə'!AM22</f>
        <v>11.973971380911737</v>
      </c>
      <c r="T18" s="6">
        <f>'[1]ÜDM sahələr üzrə'!AN22</f>
        <v>8.8563170177056065</v>
      </c>
      <c r="U18" s="6">
        <f>'[1]ÜDM sahələr üzrə'!AO22</f>
        <v>1.4506262837684867</v>
      </c>
    </row>
    <row r="19" spans="1:21" customFormat="1" ht="14">
      <c r="A19" s="67"/>
      <c r="B19" s="24" t="s">
        <v>56</v>
      </c>
      <c r="C19" s="168" t="s">
        <v>6</v>
      </c>
      <c r="D19" s="60">
        <v>-0.41627677463222312</v>
      </c>
      <c r="E19" s="10">
        <v>-4.5441795543864885</v>
      </c>
      <c r="F19" s="10">
        <v>-1.8</v>
      </c>
      <c r="G19" s="10">
        <v>11.392946615404668</v>
      </c>
      <c r="H19" s="60">
        <v>6.4629248712619045</v>
      </c>
      <c r="I19" s="60">
        <f>'[1]ÜDM sahələr üzrə'!AC23</f>
        <v>0.28332025915793224</v>
      </c>
      <c r="J19" s="10">
        <f>'[1]ÜDM sahələr üzrə'!AD23</f>
        <v>-1.7835522004332631</v>
      </c>
      <c r="K19" s="11">
        <f>'[1]ÜDM sahələr üzrə'!AE23</f>
        <v>1.3823184449828148</v>
      </c>
      <c r="L19" s="10">
        <f>'[1]ÜDM sahələr üzrə'!AF23</f>
        <v>7.2000335915316782</v>
      </c>
      <c r="M19" s="10">
        <f>'[1]ÜDM sahələr üzrə'!AG23</f>
        <v>8.3436022279693702</v>
      </c>
      <c r="N19" s="10">
        <f>'[1]ÜDM sahələr üzrə'!AH23</f>
        <v>-1.5985251259445192</v>
      </c>
      <c r="O19" s="10">
        <f>'[1]ÜDM sahələr üzrə'!AI23</f>
        <v>-2.0519723642142793</v>
      </c>
      <c r="P19" s="60">
        <f>'[1]ÜDM sahələr üzrə'!AJ23</f>
        <v>1.9374789991930754</v>
      </c>
      <c r="Q19" s="10">
        <f>'[1]ÜDM sahələr üzrə'!AK23</f>
        <v>2.1724926348937146</v>
      </c>
      <c r="R19" s="10">
        <f>'[1]ÜDM sahələr üzrə'!AL23</f>
        <v>2.7250647569792505</v>
      </c>
      <c r="S19" s="10">
        <f>'[1]ÜDM sahələr üzrə'!AM23</f>
        <v>2.991121424061177</v>
      </c>
      <c r="T19" s="11">
        <f>'[1]ÜDM sahələr üzrə'!AN23</f>
        <v>3.0569048716078981</v>
      </c>
      <c r="U19" s="11">
        <f>'[1]ÜDM sahələr üzrə'!AO23</f>
        <v>2.4080006672225807</v>
      </c>
    </row>
    <row r="20" spans="1:21" customFormat="1" ht="28">
      <c r="A20" s="128" t="s">
        <v>17</v>
      </c>
      <c r="B20" s="125" t="s">
        <v>124</v>
      </c>
      <c r="C20" s="167" t="s">
        <v>31</v>
      </c>
      <c r="D20" s="118">
        <v>11.607885600357498</v>
      </c>
      <c r="E20" s="119">
        <v>12.631557543027853</v>
      </c>
      <c r="F20" s="119">
        <v>11.952026392104436</v>
      </c>
      <c r="G20" s="119">
        <v>10.490490722413828</v>
      </c>
      <c r="H20" s="120">
        <v>9.5974248170941454</v>
      </c>
      <c r="I20" s="118">
        <f>I21/'2.4.1.1.'!I$4*100</f>
        <v>7.7203715726914046</v>
      </c>
      <c r="J20" s="119">
        <f>J21/'2.4.1.1.'!J$4*100</f>
        <v>7.4469877723264331</v>
      </c>
      <c r="K20" s="121">
        <f>K21/'2.4.1.1.'!K$4*100</f>
        <v>7.8790985159435154</v>
      </c>
      <c r="L20" s="119">
        <f>L21/'2.4.1.1.'!L$4*100</f>
        <v>5.9476391368536694</v>
      </c>
      <c r="M20" s="119">
        <f>M21/'2.4.1.1.'!M$4*100</f>
        <v>4.8433010686694127</v>
      </c>
      <c r="N20" s="119">
        <f>N21/'2.4.1.1.'!N$4*100</f>
        <v>6.1995428789384492</v>
      </c>
      <c r="O20" s="119">
        <f>O21/'2.4.1.1.'!O$4*100</f>
        <v>6.7107018020378204</v>
      </c>
      <c r="P20" s="118">
        <f>P21/'2.4.1.1.'!P$4*100</f>
        <v>7.1247374671998029</v>
      </c>
      <c r="Q20" s="119">
        <f>Q21/'2.4.1.1.'!Q$4*100</f>
        <v>7.4895656182010439</v>
      </c>
      <c r="R20" s="119">
        <f>R21/'2.4.1.1.'!R$4*100</f>
        <v>7.7468003747812988</v>
      </c>
      <c r="S20" s="119">
        <f>S21/'2.4.1.1.'!S$4*100</f>
        <v>7.6635849358537556</v>
      </c>
      <c r="T20" s="121">
        <f>T21/'2.4.1.1.'!T$4*100</f>
        <v>7.3280736965386355</v>
      </c>
      <c r="U20" s="121">
        <f>U21/'2.4.1.1.'!U$4*100</f>
        <v>6.709600178275922</v>
      </c>
    </row>
    <row r="21" spans="1:21" customFormat="1" ht="14">
      <c r="A21" s="66"/>
      <c r="B21" s="23" t="s">
        <v>72</v>
      </c>
      <c r="C21" s="166" t="s">
        <v>12</v>
      </c>
      <c r="D21" s="59">
        <v>6753.7</v>
      </c>
      <c r="E21" s="5">
        <v>7454.4</v>
      </c>
      <c r="F21" s="5">
        <v>6499.5</v>
      </c>
      <c r="G21" s="5">
        <v>6338.9</v>
      </c>
      <c r="H21" s="59">
        <v>6750.62</v>
      </c>
      <c r="I21" s="59">
        <f>'[1]ÜDM sahələr üzrə'!AC271</f>
        <v>6183.4</v>
      </c>
      <c r="J21" s="5">
        <f>'[1]ÜDM sahələr üzrə'!AD271</f>
        <v>6098.8</v>
      </c>
      <c r="K21" s="6">
        <f>'[1]ÜDM sahələr üzrə'!AE271</f>
        <v>5718.5</v>
      </c>
      <c r="L21" s="5">
        <f>'[1]ÜDM sahələr üzrə'!AF271</f>
        <v>5543.39</v>
      </c>
      <c r="M21" s="5">
        <f>'[1]ÜDM sahələr üzrə'!AG271</f>
        <v>6488.6999999999989</v>
      </c>
      <c r="N21" s="5">
        <f>'[1]ÜDM sahələr üzrə'!AH271</f>
        <v>7633.4</v>
      </c>
      <c r="O21" s="5">
        <f>'[1]ÜDM sahələr üzrə'!AI271</f>
        <v>8478.1</v>
      </c>
      <c r="P21" s="59">
        <f>'[1]ÜDM sahələr üzrə'!AJ271</f>
        <v>9129.2262941764402</v>
      </c>
      <c r="Q21" s="5">
        <f>'[1]ÜDM sahələr üzrə'!AK271</f>
        <v>9740.6342292587779</v>
      </c>
      <c r="R21" s="5">
        <f>'[1]ÜDM sahələr üzrə'!AL271</f>
        <v>10645.877130019569</v>
      </c>
      <c r="S21" s="5">
        <f>'[1]ÜDM sahələr üzrə'!AM271</f>
        <v>11241.946327867447</v>
      </c>
      <c r="T21" s="6">
        <f>'[1]ÜDM sahələr üzrə'!AN271</f>
        <v>11678.922679627394</v>
      </c>
      <c r="U21" s="6">
        <f>'[1]ÜDM sahələr üzrə'!AO271</f>
        <v>11298.493357334995</v>
      </c>
    </row>
    <row r="22" spans="1:21" customFormat="1" ht="14">
      <c r="A22" s="66"/>
      <c r="B22" s="23" t="s">
        <v>16</v>
      </c>
      <c r="C22" s="166" t="s">
        <v>6</v>
      </c>
      <c r="D22" s="59">
        <v>21.25</v>
      </c>
      <c r="E22" s="5">
        <v>8.7999999999999972</v>
      </c>
      <c r="F22" s="5">
        <v>-13.4</v>
      </c>
      <c r="G22" s="5">
        <v>-22.6</v>
      </c>
      <c r="H22" s="59">
        <v>0.2</v>
      </c>
      <c r="I22" s="59">
        <f>'[1]ÜDM sahələr üzrə'!AC273</f>
        <v>-8.8000000000000007</v>
      </c>
      <c r="J22" s="5">
        <f>'[1]ÜDM sahələr üzrə'!AD273</f>
        <v>-2.8</v>
      </c>
      <c r="K22" s="6">
        <f>'[1]ÜDM sahələr üzrə'!AE273</f>
        <v>-7.7</v>
      </c>
      <c r="L22" s="5">
        <f>'[1]ÜDM sahələr üzrə'!AF273</f>
        <v>-1.6359999999999999</v>
      </c>
      <c r="M22" s="5">
        <f>'[1]ÜDM sahələr üzrə'!AG273</f>
        <v>13.2</v>
      </c>
      <c r="N22" s="5">
        <f>'[1]ÜDM sahələr üzrə'!AH273</f>
        <v>14.6</v>
      </c>
      <c r="O22" s="5">
        <f>'[1]ÜDM sahələr üzrə'!AI273</f>
        <v>9.6</v>
      </c>
      <c r="P22" s="59">
        <f>'[1]ÜDM sahələr üzrə'!AJ273</f>
        <v>5.8321599020684403</v>
      </c>
      <c r="Q22" s="5">
        <f>'[1]ÜDM sahələr üzrə'!AK273</f>
        <v>6.7448197794051765</v>
      </c>
      <c r="R22" s="5">
        <f>'[1]ÜDM sahələr üzrə'!AL273</f>
        <v>4.262559398006303</v>
      </c>
      <c r="S22" s="5">
        <f>'[1]ÜDM sahələr üzrə'!AM273</f>
        <v>1.7812148251281457</v>
      </c>
      <c r="T22" s="6">
        <f>'[1]ÜDM sahələr üzrə'!AN273</f>
        <v>-0.10162992931483927</v>
      </c>
      <c r="U22" s="6">
        <f>'[1]ÜDM sahələr üzrə'!AO273</f>
        <v>-6.8641011830996206</v>
      </c>
    </row>
    <row r="23" spans="1:21" customFormat="1" ht="14">
      <c r="A23" s="67"/>
      <c r="B23" s="24" t="s">
        <v>56</v>
      </c>
      <c r="C23" s="168" t="s">
        <v>6</v>
      </c>
      <c r="D23" s="60">
        <v>1.1285944855589776</v>
      </c>
      <c r="E23" s="10">
        <v>1.4476596270976358</v>
      </c>
      <c r="F23" s="10">
        <v>0.68142714168656937</v>
      </c>
      <c r="G23" s="10">
        <v>26.006512526405828</v>
      </c>
      <c r="H23" s="60">
        <v>6.2825680888298336</v>
      </c>
      <c r="I23" s="60">
        <f>'[1]ÜDM sahələr üzrə'!AC276</f>
        <v>0.43616655777445601</v>
      </c>
      <c r="J23" s="10">
        <f>'[1]ÜDM sahələr üzrə'!AD276</f>
        <v>1.4730665444224798</v>
      </c>
      <c r="K23" s="11">
        <f>'[1]ÜDM sahələr üzrə'!AE276</f>
        <v>1.5865082174132112</v>
      </c>
      <c r="L23" s="10">
        <f>'[1]ÜDM sahələr üzrə'!AF276</f>
        <v>-1.4498868001444407</v>
      </c>
      <c r="M23" s="10">
        <f>'[1]ÜDM sahələr üzrə'!AG276</f>
        <v>3.4036417753249566</v>
      </c>
      <c r="N23" s="10">
        <f>'[1]ÜDM sahələr üzrə'!AH276</f>
        <v>2.6539600284032616</v>
      </c>
      <c r="O23" s="10">
        <f>'[1]ÜDM sahələr üzrə'!AI276</f>
        <v>1.3374472807651756</v>
      </c>
      <c r="P23" s="60">
        <f>'[1]ÜDM sahələr üzrə'!AJ276</f>
        <v>1.7461015504530337</v>
      </c>
      <c r="Q23" s="10">
        <f>'[1]ÜDM sahələr üzrə'!AK276</f>
        <v>-4.4555529381327119E-2</v>
      </c>
      <c r="R23" s="10">
        <f>'[1]ÜDM sahələr üzrə'!AL276</f>
        <v>4.8252320243167333</v>
      </c>
      <c r="S23" s="10">
        <f>'[1]ÜDM sahələr üzrə'!AM276</f>
        <v>3.7510326327502952</v>
      </c>
      <c r="T23" s="11">
        <f>'[1]ÜDM sahələr üzrə'!AN276</f>
        <v>3.9927045953324267</v>
      </c>
      <c r="U23" s="11">
        <f>'[1]ÜDM sahələr üzrə'!AO276</f>
        <v>3.872513623764732</v>
      </c>
    </row>
    <row r="24" spans="1:21" customFormat="1" ht="28">
      <c r="A24" s="128" t="s">
        <v>26</v>
      </c>
      <c r="B24" s="125" t="s">
        <v>197</v>
      </c>
      <c r="C24" s="167" t="s">
        <v>31</v>
      </c>
      <c r="D24" s="118">
        <v>30.913769206971232</v>
      </c>
      <c r="E24" s="119">
        <v>33.615998549499182</v>
      </c>
      <c r="F24" s="119">
        <v>39.99559560902734</v>
      </c>
      <c r="G24" s="119">
        <v>38.638346026763195</v>
      </c>
      <c r="H24" s="120">
        <v>37.576108587716149</v>
      </c>
      <c r="I24" s="118">
        <f>I25/'2.4.1.1.'!I$4*100</f>
        <v>34.79798232033162</v>
      </c>
      <c r="J24" s="119">
        <f>J25/'2.4.1.1.'!J$4*100</f>
        <v>36.491070403754996</v>
      </c>
      <c r="K24" s="121">
        <f>K25/'2.4.1.1.'!K$4*100</f>
        <v>41.868828200242227</v>
      </c>
      <c r="L24" s="119">
        <f>L25/'2.4.1.1.'!L$4*100</f>
        <v>37.323686311199609</v>
      </c>
      <c r="M24" s="119">
        <f>M25/'2.4.1.1.'!M$4*100</f>
        <v>31.796931725070053</v>
      </c>
      <c r="N24" s="119">
        <f>N25/'2.4.1.1.'!N$4*100</f>
        <v>39.414535552482825</v>
      </c>
      <c r="O24" s="119">
        <f>O25/'2.4.1.1.'!O$4*100</f>
        <v>41.945032609165786</v>
      </c>
      <c r="P24" s="118">
        <f>P25/'2.4.1.1.'!P$4*100</f>
        <v>44.207407376171368</v>
      </c>
      <c r="Q24" s="119">
        <f>Q25/'2.4.1.1.'!Q$4*100</f>
        <v>46.355210201536906</v>
      </c>
      <c r="R24" s="119">
        <f>R25/'2.4.1.1.'!R$4*100</f>
        <v>47.514828125965828</v>
      </c>
      <c r="S24" s="119">
        <f>S25/'2.4.1.1.'!S$4*100</f>
        <v>49.250824142024811</v>
      </c>
      <c r="T24" s="121">
        <f>T25/'2.4.1.1.'!T$4*100</f>
        <v>50.265368696317161</v>
      </c>
      <c r="U24" s="121">
        <f>U25/'2.4.1.1.'!U$4*100</f>
        <v>52.236715342776705</v>
      </c>
    </row>
    <row r="25" spans="1:21" customFormat="1" ht="14">
      <c r="A25" s="66"/>
      <c r="B25" s="23" t="s">
        <v>72</v>
      </c>
      <c r="C25" s="166" t="s">
        <v>12</v>
      </c>
      <c r="D25" s="59">
        <v>17986.249200000002</v>
      </c>
      <c r="E25" s="5">
        <v>19838.379000000001</v>
      </c>
      <c r="F25" s="5">
        <v>21749.564896593452</v>
      </c>
      <c r="G25" s="5">
        <v>23347.297863363718</v>
      </c>
      <c r="H25" s="59">
        <v>26430.218000000008</v>
      </c>
      <c r="I25" s="59">
        <f>'[1]ÜDM sahələr üzrə'!AC282</f>
        <v>27870.400000000001</v>
      </c>
      <c r="J25" s="5">
        <f>'[1]ÜDM sahələr üzrə'!AD282</f>
        <v>29884.800000000003</v>
      </c>
      <c r="K25" s="6">
        <f>'[1]ÜDM sahələr üzrə'!AE282</f>
        <v>30387.599999999999</v>
      </c>
      <c r="L25" s="5">
        <f>'[1]ÜDM sahələr üzrə'!AF282</f>
        <v>34786.870000000003</v>
      </c>
      <c r="M25" s="5">
        <f>'[1]ÜDM sahələr üzrə'!AG282</f>
        <v>42599.199999999997</v>
      </c>
      <c r="N25" s="5">
        <f>'[1]ÜDM sahələr üzrə'!AH282</f>
        <v>48530.5</v>
      </c>
      <c r="O25" s="5">
        <f>'[1]ÜDM sahələr üzrə'!AI282</f>
        <v>52992.100000000006</v>
      </c>
      <c r="P25" s="59">
        <f>'[1]ÜDM sahələr üzrə'!AJ282</f>
        <v>56644.81360525552</v>
      </c>
      <c r="Q25" s="5">
        <f>'[1]ÜDM sahələr üzrə'!AK282</f>
        <v>60287.761695588306</v>
      </c>
      <c r="R25" s="5">
        <f>'[1]ÜDM sahələr üzrə'!AL282</f>
        <v>65296.251047040889</v>
      </c>
      <c r="S25" s="5">
        <f>'[1]ÜDM sahələr üzrə'!AM282</f>
        <v>72247.535095166211</v>
      </c>
      <c r="T25" s="6">
        <f>'[1]ÜDM sahələr üzrə'!AN282</f>
        <v>80109.095347190363</v>
      </c>
      <c r="U25" s="6">
        <f>'[1]ÜDM sahələr üzrə'!AO282</f>
        <v>87962.943488089717</v>
      </c>
    </row>
    <row r="26" spans="1:21" customFormat="1" ht="14">
      <c r="A26" s="66"/>
      <c r="B26" s="23" t="s">
        <v>16</v>
      </c>
      <c r="C26" s="166" t="s">
        <v>6</v>
      </c>
      <c r="D26" s="59">
        <v>8.3539137408447761</v>
      </c>
      <c r="E26" s="5">
        <v>7.5473019657056657</v>
      </c>
      <c r="F26" s="5">
        <v>4.4395771348697268</v>
      </c>
      <c r="G26" s="5">
        <v>-0.80650740305643631</v>
      </c>
      <c r="H26" s="59">
        <v>3.1565799403208818</v>
      </c>
      <c r="I26" s="59">
        <f>'[1]ÜDM sahələr üzrə'!AC284</f>
        <v>3.8080657732442433</v>
      </c>
      <c r="J26" s="5">
        <f>'[1]ÜDM sahələr üzrə'!AD284</f>
        <v>3.8064166642746429</v>
      </c>
      <c r="K26" s="6">
        <f>'[1]ÜDM sahələr üzrə'!AE284</f>
        <v>-4.4477760266088442</v>
      </c>
      <c r="L26" s="5">
        <f>'[1]ÜDM sahələr üzrə'!AF284</f>
        <v>7.7764684937277044</v>
      </c>
      <c r="M26" s="5">
        <f>'[1]ÜDM sahələr üzrə'!AG284</f>
        <v>9.7640448939499276</v>
      </c>
      <c r="N26" s="5">
        <f>'[1]ÜDM sahələr üzrə'!AH284</f>
        <v>2.9265314090405457</v>
      </c>
      <c r="O26" s="5">
        <f>'[1]ÜDM sahələr üzrə'!AI284</f>
        <v>6.417341278165277</v>
      </c>
      <c r="P26" s="59">
        <f>'[1]ÜDM sahələr üzrə'!AJ284</f>
        <v>4.2965363433169683</v>
      </c>
      <c r="Q26" s="5">
        <f>'[1]ÜDM sahələr üzrə'!AK284</f>
        <v>3.7338893750464739</v>
      </c>
      <c r="R26" s="5">
        <f>'[1]ÜDM sahələr üzrə'!AL284</f>
        <v>3.5533179009130431</v>
      </c>
      <c r="S26" s="5">
        <f>'[1]ÜDM sahələr üzrə'!AM284</f>
        <v>3.3571554523685201</v>
      </c>
      <c r="T26" s="6">
        <f>'[1]ÜDM sahələr üzrə'!AN284</f>
        <v>3.4322659623784855</v>
      </c>
      <c r="U26" s="6">
        <f>'[1]ÜDM sahələr üzrə'!AO284</f>
        <v>2.7671018204624982</v>
      </c>
    </row>
    <row r="27" spans="1:21" customFormat="1" ht="14">
      <c r="A27" s="67"/>
      <c r="B27" s="24" t="s">
        <v>56</v>
      </c>
      <c r="C27" s="168" t="s">
        <v>6</v>
      </c>
      <c r="D27" s="60">
        <v>4.0267500656717203</v>
      </c>
      <c r="E27" s="10">
        <v>2.5571767674694996</v>
      </c>
      <c r="F27" s="10">
        <v>4.9734052481513231</v>
      </c>
      <c r="G27" s="10">
        <v>8.2188385984309065</v>
      </c>
      <c r="H27" s="59">
        <v>9.7405635611069528</v>
      </c>
      <c r="I27" s="60">
        <f>'[1]ÜDM sahələr üzrə'!AC285</f>
        <v>1.5808057297196427</v>
      </c>
      <c r="J27" s="10">
        <f>'[1]ÜDM sahələr üzrə'!AD285</f>
        <v>3.2958686659228391</v>
      </c>
      <c r="K27" s="11">
        <f>'[1]ÜDM sahələr üzrə'!AE285</f>
        <v>6.4155876447288875</v>
      </c>
      <c r="L27" s="10">
        <f>'[1]ÜDM sahələr üzrə'!AF285</f>
        <v>6.2172380144507144</v>
      </c>
      <c r="M27" s="10">
        <f>'[1]ÜDM sahələr üzrə'!AG285</f>
        <v>11.564490466492302</v>
      </c>
      <c r="N27" s="10">
        <f>'[1]ÜDM sahələr üzrə'!AH285</f>
        <v>10.684290387744255</v>
      </c>
      <c r="O27" s="10">
        <f>'[1]ÜDM sahələr üzrə'!AI285</f>
        <v>2.6086467991021607</v>
      </c>
      <c r="P27" s="60">
        <f>'[1]ÜDM sahələr üzrə'!AJ285</f>
        <v>2.4894437041458843</v>
      </c>
      <c r="Q27" s="10">
        <f>'[1]ÜDM sahələr üzrə'!AK285</f>
        <v>2.6002328771045171</v>
      </c>
      <c r="R27" s="10">
        <f>'[1]ÜDM sahələr üzrə'!AL285</f>
        <v>4.5911814111459393</v>
      </c>
      <c r="S27" s="10">
        <f>'[1]ÜDM sahələr üzrə'!AM285</f>
        <v>7.051865334020647</v>
      </c>
      <c r="T27" s="11">
        <f>'[1]ÜDM sahələr üzrə'!AN285</f>
        <v>7.201966866413585</v>
      </c>
      <c r="U27" s="11">
        <f>'[1]ÜDM sahələr üzrə'!AO285</f>
        <v>6.8473652337982571</v>
      </c>
    </row>
    <row r="28" spans="1:21" customFormat="1" ht="28">
      <c r="A28" s="68" t="s">
        <v>167</v>
      </c>
      <c r="B28" s="25" t="s">
        <v>198</v>
      </c>
      <c r="C28" s="169" t="s">
        <v>31</v>
      </c>
      <c r="D28" s="40">
        <v>7.1308995909387773</v>
      </c>
      <c r="E28" s="18">
        <v>7.8828618923274263</v>
      </c>
      <c r="F28" s="18">
        <v>9.907704868894573</v>
      </c>
      <c r="G28" s="18">
        <v>10.346345564433383</v>
      </c>
      <c r="H28" s="65">
        <v>10.364863943613994</v>
      </c>
      <c r="I28" s="40">
        <f>I29/'2.4.1.1.'!I$4*100</f>
        <v>9.572866203865555</v>
      </c>
      <c r="J28" s="18">
        <f>J29/'2.4.1.1.'!J$4*100</f>
        <v>9.9954576647023909</v>
      </c>
      <c r="K28" s="19">
        <f>K29/'2.4.1.1.'!K$4*100</f>
        <v>11.527582011653655</v>
      </c>
      <c r="L28" s="18">
        <f>L29/'2.4.1.1.'!L$4*100</f>
        <v>10.021522866167683</v>
      </c>
      <c r="M28" s="18">
        <f>M29/'2.4.1.1.'!M$4*100</f>
        <v>8.1750252430206398</v>
      </c>
      <c r="N28" s="18">
        <f>N29/'2.4.1.1.'!N$4*100</f>
        <v>10.433414676852095</v>
      </c>
      <c r="O28" s="18">
        <f>O29/'2.4.1.1.'!O$4*100</f>
        <v>10.695678179098648</v>
      </c>
      <c r="P28" s="40">
        <f>P29/'2.4.1.1.'!P$4*100</f>
        <v>11.239755330382346</v>
      </c>
      <c r="Q28" s="18">
        <f>Q29/'2.4.1.1.'!Q$4*100</f>
        <v>11.934578471343119</v>
      </c>
      <c r="R28" s="18">
        <f>R29/'2.4.1.1.'!R$4*100</f>
        <v>12.444629367821717</v>
      </c>
      <c r="S28" s="18">
        <f>S29/'2.4.1.1.'!S$4*100</f>
        <v>13.0016419394927</v>
      </c>
      <c r="T28" s="19">
        <f>T29/'2.4.1.1.'!T$4*100</f>
        <v>13.399371424872902</v>
      </c>
      <c r="U28" s="19">
        <f>U29/'2.4.1.1.'!U$4*100</f>
        <v>14.126831346201524</v>
      </c>
    </row>
    <row r="29" spans="1:21" customFormat="1" ht="14">
      <c r="A29" s="66"/>
      <c r="B29" s="23" t="s">
        <v>72</v>
      </c>
      <c r="C29" s="166" t="s">
        <v>12</v>
      </c>
      <c r="D29" s="59">
        <v>4148.8999999999996</v>
      </c>
      <c r="E29" s="5">
        <v>4652</v>
      </c>
      <c r="F29" s="5">
        <v>5387.8</v>
      </c>
      <c r="G29" s="5">
        <v>6251.8</v>
      </c>
      <c r="H29" s="59">
        <v>7290.42</v>
      </c>
      <c r="I29" s="59">
        <f>'[1]ÜDM sahələr üzrə'!AC289</f>
        <v>7667.1</v>
      </c>
      <c r="J29" s="5">
        <f>'[1]ÜDM sahələr üzrə'!AD289</f>
        <v>8185.9</v>
      </c>
      <c r="K29" s="6">
        <f>'[1]ÜDM sahələr üzrə'!AE289</f>
        <v>8366.5</v>
      </c>
      <c r="L29" s="5">
        <f>'[1]ÜDM sahələr üzrə'!AF289</f>
        <v>9340.3799999999992</v>
      </c>
      <c r="M29" s="5">
        <f>'[1]ÜDM sahələr üzrə'!AG289</f>
        <v>10952.300000000001</v>
      </c>
      <c r="N29" s="5">
        <f>'[1]ÜDM sahələr üzrə'!AH289</f>
        <v>12846.5</v>
      </c>
      <c r="O29" s="5">
        <f>'[1]ÜDM sahələr üzrə'!AI289</f>
        <v>13512.6</v>
      </c>
      <c r="P29" s="59">
        <f>'[1]ÜDM sahələr üzrə'!AJ289</f>
        <v>14401.972055058006</v>
      </c>
      <c r="Q29" s="5">
        <f>'[1]ÜDM sahələr üzrə'!AK289</f>
        <v>15521.642975826206</v>
      </c>
      <c r="R29" s="5">
        <f>'[1]ÜDM sahələr üzrə'!AL289</f>
        <v>17101.769604099718</v>
      </c>
      <c r="S29" s="5">
        <f>'[1]ÜDM sahələr üzrə'!AM289</f>
        <v>19072.504850061287</v>
      </c>
      <c r="T29" s="6">
        <f>'[1]ÜDM sahələr üzrə'!AN289</f>
        <v>21354.892064010823</v>
      </c>
      <c r="U29" s="6">
        <f>'[1]ÜDM sahələr üzrə'!AO289</f>
        <v>23788.587379920915</v>
      </c>
    </row>
    <row r="30" spans="1:21" customFormat="1" ht="14">
      <c r="A30" s="66"/>
      <c r="B30" s="23" t="s">
        <v>16</v>
      </c>
      <c r="C30" s="166" t="s">
        <v>6</v>
      </c>
      <c r="D30" s="59">
        <v>9.85</v>
      </c>
      <c r="E30" s="5">
        <v>10</v>
      </c>
      <c r="F30" s="5">
        <v>10.900000000000006</v>
      </c>
      <c r="G30" s="5">
        <v>1.5</v>
      </c>
      <c r="H30" s="59">
        <v>2.516</v>
      </c>
      <c r="I30" s="59">
        <f>'[1]ÜDM sahələr üzrə'!AC291</f>
        <v>3</v>
      </c>
      <c r="J30" s="5">
        <f>'[1]ÜDM sahələr üzrə'!AD291</f>
        <v>3.6</v>
      </c>
      <c r="K30" s="6">
        <f>'[1]ÜDM sahələr üzrə'!AE291</f>
        <v>-1.3</v>
      </c>
      <c r="L30" s="5">
        <f>'[1]ÜDM sahələr üzrə'!AF291</f>
        <v>4.9000000000000004</v>
      </c>
      <c r="M30" s="5">
        <f>'[1]ÜDM sahələr üzrə'!AG291</f>
        <v>3.24</v>
      </c>
      <c r="N30" s="5">
        <f>'[1]ÜDM sahələr üzrə'!AH291</f>
        <v>3.5</v>
      </c>
      <c r="O30" s="5">
        <f>'[1]ÜDM sahələr üzrə'!AI291</f>
        <v>3.8</v>
      </c>
      <c r="P30" s="59">
        <f>'[1]ÜDM sahələr üzrə'!AJ291</f>
        <v>4.7566522596774092</v>
      </c>
      <c r="Q30" s="5">
        <f>'[1]ÜDM sahələr üzrə'!AK291</f>
        <v>4.9226593681999304</v>
      </c>
      <c r="R30" s="5">
        <f>'[1]ÜDM sahələr üzrə'!AL291</f>
        <v>4.8682511841386997</v>
      </c>
      <c r="S30" s="5">
        <f>'[1]ÜDM sahələr üzrə'!AM291</f>
        <v>4.5186371219336792</v>
      </c>
      <c r="T30" s="6">
        <f>'[1]ÜDM sahələr üzrə'!AN291</f>
        <v>4.5772553803407448</v>
      </c>
      <c r="U30" s="6">
        <f>'[1]ÜDM sahələr üzrə'!AO291</f>
        <v>3.9111247238281948</v>
      </c>
    </row>
    <row r="31" spans="1:21" customFormat="1" ht="14">
      <c r="A31" s="66"/>
      <c r="B31" s="23" t="s">
        <v>56</v>
      </c>
      <c r="C31" s="166" t="s">
        <v>6</v>
      </c>
      <c r="D31" s="59">
        <v>3.3628232159144176</v>
      </c>
      <c r="E31" s="5">
        <v>1.9328233770615952</v>
      </c>
      <c r="F31" s="5">
        <v>4.4335914936573886</v>
      </c>
      <c r="G31" s="5">
        <v>14.321408868092249</v>
      </c>
      <c r="H31" s="60">
        <v>13.751156323890797</v>
      </c>
      <c r="I31" s="59">
        <f>'[1]ÜDM sahələr üzrə'!AC294</f>
        <v>2.1039505070639564</v>
      </c>
      <c r="J31" s="5">
        <f>'[1]ÜDM sahələr üzrə'!AD294</f>
        <v>3.0565386710474058</v>
      </c>
      <c r="K31" s="6">
        <f>'[1]ÜDM sahələr üzrə'!AE294</f>
        <v>3.5524140510322155</v>
      </c>
      <c r="L31" s="5">
        <f>'[1]ÜDM sahələr üzrə'!AF294</f>
        <v>6.4253878714290096</v>
      </c>
      <c r="M31" s="5">
        <f>'[1]ÜDM sahələr üzrə'!AG294</f>
        <v>13.57762687366646</v>
      </c>
      <c r="N31" s="5">
        <f>'[1]ÜDM sahələr üzrə'!AH294</f>
        <v>13.32849990126266</v>
      </c>
      <c r="O31" s="5">
        <f>'[1]ÜDM sahələr üzrə'!AI294</f>
        <v>1.3343640302378788</v>
      </c>
      <c r="P31" s="59">
        <f>'[1]ÜDM sahələr üzrə'!AJ294</f>
        <v>1.7422720542668912</v>
      </c>
      <c r="Q31" s="5">
        <f>'[1]ÜDM sahələr üzrə'!AK294</f>
        <v>2.7179719422707933</v>
      </c>
      <c r="R31" s="5">
        <f>'[1]ÜDM sahələr üzrə'!AL294</f>
        <v>5.0653075085369039</v>
      </c>
      <c r="S31" s="5">
        <f>'[1]ÜDM sahələr üzrə'!AM294</f>
        <v>6.7020945420822642</v>
      </c>
      <c r="T31" s="6">
        <f>'[1]ÜDM sahələr üzrə'!AN294</f>
        <v>7.0662044612957544</v>
      </c>
      <c r="U31" s="6">
        <f>'[1]ÜDM sahələr üzrə'!AO294</f>
        <v>7.2035648256658931</v>
      </c>
    </row>
    <row r="32" spans="1:21" customFormat="1" ht="28">
      <c r="A32" s="69" t="s">
        <v>168</v>
      </c>
      <c r="B32" s="26" t="s">
        <v>128</v>
      </c>
      <c r="C32" s="170" t="s">
        <v>31</v>
      </c>
      <c r="D32" s="65">
        <v>1.8376817572445088</v>
      </c>
      <c r="E32" s="20">
        <v>2.1505030153810698</v>
      </c>
      <c r="F32" s="20">
        <v>2.4141272786452346</v>
      </c>
      <c r="G32" s="20">
        <v>2.3567981570602994</v>
      </c>
      <c r="H32" s="40">
        <v>2.3668914535249614</v>
      </c>
      <c r="I32" s="65">
        <f>I33/'2.4.1.1.'!I$4*100</f>
        <v>2.2901163661788941</v>
      </c>
      <c r="J32" s="20">
        <f>J33/'2.4.1.1.'!J$4*100</f>
        <v>2.4179388054635016</v>
      </c>
      <c r="K32" s="21">
        <f>K33/'2.4.1.1.'!K$4*100</f>
        <v>1.142493396768447</v>
      </c>
      <c r="L32" s="20">
        <f>L33/'2.4.1.1.'!L$4*100</f>
        <v>1.262059671770926</v>
      </c>
      <c r="M32" s="20">
        <f>M33/'2.4.1.1.'!M$4*100</f>
        <v>1.5198621659230138</v>
      </c>
      <c r="N32" s="20">
        <f>N33/'2.4.1.1.'!N$4*100</f>
        <v>2.1729343375952817</v>
      </c>
      <c r="O32" s="20">
        <f>O33/'2.4.1.1.'!O$4*100</f>
        <v>2.4444935038786286</v>
      </c>
      <c r="P32" s="65">
        <f>P33/'2.4.1.1.'!P$4*100</f>
        <v>2.6311949664226546</v>
      </c>
      <c r="Q32" s="20">
        <f>Q33/'2.4.1.1.'!Q$4*100</f>
        <v>2.2606158028930965</v>
      </c>
      <c r="R32" s="20">
        <f>R33/'2.4.1.1.'!R$4*100</f>
        <v>1.8625765091139681</v>
      </c>
      <c r="S32" s="20">
        <f>S33/'2.4.1.1.'!S$4*100</f>
        <v>1.8990218103950494</v>
      </c>
      <c r="T32" s="21">
        <f>T33/'2.4.1.1.'!T$4*100</f>
        <v>1.9934608492095263</v>
      </c>
      <c r="U32" s="21">
        <f>U33/'2.4.1.1.'!U$4*100</f>
        <v>2.1528940017357954</v>
      </c>
    </row>
    <row r="33" spans="1:21" customFormat="1" ht="14">
      <c r="A33" s="66"/>
      <c r="B33" s="23" t="s">
        <v>72</v>
      </c>
      <c r="C33" s="166" t="s">
        <v>12</v>
      </c>
      <c r="D33" s="59">
        <v>1069.2</v>
      </c>
      <c r="E33" s="5">
        <v>1269.0999999999999</v>
      </c>
      <c r="F33" s="5">
        <v>1312.8</v>
      </c>
      <c r="G33" s="5">
        <v>1424.1</v>
      </c>
      <c r="H33" s="59">
        <v>1664.82</v>
      </c>
      <c r="I33" s="59">
        <f>'[1]ÜDM sahələr üzrə'!AC300</f>
        <v>1834.2</v>
      </c>
      <c r="J33" s="5">
        <f>'[1]ÜDM sahələr üzrə'!AD300</f>
        <v>1980.2</v>
      </c>
      <c r="K33" s="6">
        <f>'[1]ÜDM sahələr üzrə'!AE300</f>
        <v>829.2</v>
      </c>
      <c r="L33" s="5">
        <f>'[1]ÜDM sahələr üzrə'!AF300</f>
        <v>1176.28</v>
      </c>
      <c r="M33" s="5">
        <f>'[1]ÜDM sahələr üzrə'!AG300</f>
        <v>2036.1999999999998</v>
      </c>
      <c r="N33" s="5">
        <f>'[1]ÜDM sahələr üzrə'!AH300</f>
        <v>2675.5</v>
      </c>
      <c r="O33" s="5">
        <f>'[1]ÜDM sahələr üzrə'!AI300</f>
        <v>3088.3</v>
      </c>
      <c r="P33" s="59">
        <f>'[1]ÜDM sahələr üzrə'!AJ300</f>
        <v>3371.4609672503693</v>
      </c>
      <c r="Q33" s="5">
        <f>'[1]ÜDM sahələr üzrə'!AK300</f>
        <v>2940.0679280186159</v>
      </c>
      <c r="R33" s="5">
        <f>'[1]ÜDM sahələr üzrə'!AL300</f>
        <v>2559.6065087514107</v>
      </c>
      <c r="S33" s="5">
        <f>'[1]ÜDM sahələr üzrə'!AM300</f>
        <v>2785.732975703294</v>
      </c>
      <c r="T33" s="6">
        <f>'[1]ÜDM sahələr üzrə'!AN300</f>
        <v>3177.0252438617345</v>
      </c>
      <c r="U33" s="6">
        <f>'[1]ÜDM sahələr üzrə'!AO300</f>
        <v>3625.3216184795942</v>
      </c>
    </row>
    <row r="34" spans="1:21" customFormat="1" ht="14">
      <c r="A34" s="66"/>
      <c r="B34" s="23" t="s">
        <v>16</v>
      </c>
      <c r="C34" s="166" t="s">
        <v>6</v>
      </c>
      <c r="D34" s="59">
        <v>16</v>
      </c>
      <c r="E34" s="5">
        <v>18.200000000000003</v>
      </c>
      <c r="F34" s="5">
        <v>14</v>
      </c>
      <c r="G34" s="5">
        <v>2.1</v>
      </c>
      <c r="H34" s="59">
        <v>6.9</v>
      </c>
      <c r="I34" s="59">
        <f>'[1]ÜDM sahələr üzrə'!AC302</f>
        <v>7.6</v>
      </c>
      <c r="J34" s="5">
        <f>'[1]ÜDM sahələr üzrə'!AD302</f>
        <v>6.4</v>
      </c>
      <c r="K34" s="6">
        <f>'[1]ÜDM sahələr üzrə'!AE302</f>
        <v>-58.93</v>
      </c>
      <c r="L34" s="5">
        <f>'[1]ÜDM sahələr üzrə'!AF302</f>
        <v>34.020000000000003</v>
      </c>
      <c r="M34" s="5">
        <f>'[1]ÜDM sahələr üzrə'!AG302</f>
        <v>50.3</v>
      </c>
      <c r="N34" s="5">
        <f>'[1]ÜDM sahələr üzrə'!AH302</f>
        <v>21.5</v>
      </c>
      <c r="O34" s="5">
        <f>'[1]ÜDM sahələr üzrə'!AI302</f>
        <v>12.9</v>
      </c>
      <c r="P34" s="59">
        <f>'[1]ÜDM sahələr üzrə'!AJ302</f>
        <v>10.216421254047475</v>
      </c>
      <c r="Q34" s="5">
        <f>'[1]ÜDM sahələr üzrə'!AK302</f>
        <v>10.936184694367995</v>
      </c>
      <c r="R34" s="5">
        <f>'[1]ÜDM sahələr üzrə'!AL302</f>
        <v>9.532181900753244</v>
      </c>
      <c r="S34" s="5">
        <f>'[1]ÜDM sahələr üzrə'!AM302</f>
        <v>7.9471356149526002</v>
      </c>
      <c r="T34" s="6">
        <f>'[1]ÜDM sahələr üzrə'!AN302</f>
        <v>7.2015999587720927</v>
      </c>
      <c r="U34" s="6">
        <f>'[1]ÜDM sahələr üzrə'!AO302</f>
        <v>6.579734823326632</v>
      </c>
    </row>
    <row r="35" spans="1:21" customFormat="1" ht="14">
      <c r="A35" s="66"/>
      <c r="B35" s="23" t="s">
        <v>56</v>
      </c>
      <c r="C35" s="166" t="s">
        <v>6</v>
      </c>
      <c r="D35" s="59">
        <v>2.710512361381177</v>
      </c>
      <c r="E35" s="5">
        <v>0.41981512182675829</v>
      </c>
      <c r="F35" s="5">
        <v>-9.2601885297911082</v>
      </c>
      <c r="G35" s="5">
        <v>6.2468777249962812</v>
      </c>
      <c r="H35" s="60">
        <v>9.3576308250812019</v>
      </c>
      <c r="I35" s="59">
        <f>'[1]ÜDM sahələr üzrə'!AC305</f>
        <v>2.3934911189751773</v>
      </c>
      <c r="J35" s="5">
        <f>'[1]ÜDM sahələr üzrə'!AD305</f>
        <v>1.4660465360325787</v>
      </c>
      <c r="K35" s="6">
        <f>'[1]ÜDM sahələr üzrə'!AE305</f>
        <v>1.9589922703722351</v>
      </c>
      <c r="L35" s="5">
        <f>'[1]ÜDM sahələr üzrə'!AF305</f>
        <v>5.847792695404479</v>
      </c>
      <c r="M35" s="5">
        <f>'[1]ÜDM sahələr üzrə'!AG305</f>
        <v>15.173015979353792</v>
      </c>
      <c r="N35" s="5">
        <f>'[1]ÜDM sahələr üzrə'!AH305</f>
        <v>8.1454480487537637</v>
      </c>
      <c r="O35" s="5">
        <f>'[1]ÜDM sahələr üzrə'!AI305</f>
        <v>2.2399395889512732</v>
      </c>
      <c r="P35" s="59">
        <f>'[1]ÜDM sahələr üzrə'!AJ305</f>
        <v>-0.95048592057500514</v>
      </c>
      <c r="Q35" s="5">
        <f>'[1]ÜDM sahələr üzrə'!AK305</f>
        <v>-21.392134638236655</v>
      </c>
      <c r="R35" s="5">
        <f>'[1]ÜDM sahələr üzrə'!AL305</f>
        <v>-20.517027163096003</v>
      </c>
      <c r="S35" s="5">
        <f>'[1]ÜDM sahələr üzrə'!AM305</f>
        <v>0.82196476316542544</v>
      </c>
      <c r="T35" s="6">
        <f>'[1]ÜDM sahələr üzrə'!AN305</f>
        <v>6.384881305374023</v>
      </c>
      <c r="U35" s="6">
        <f>'[1]ÜDM sahələr üzrə'!AO305</f>
        <v>7.0659167096999624</v>
      </c>
    </row>
    <row r="36" spans="1:21" customFormat="1" ht="28">
      <c r="A36" s="69" t="s">
        <v>373</v>
      </c>
      <c r="B36" s="26" t="s">
        <v>130</v>
      </c>
      <c r="C36" s="170" t="s">
        <v>31</v>
      </c>
      <c r="D36" s="65">
        <v>4.4152830772403835</v>
      </c>
      <c r="E36" s="20">
        <v>4.5004498924833225</v>
      </c>
      <c r="F36" s="20">
        <v>5.9615777152955411</v>
      </c>
      <c r="G36" s="20">
        <v>6.7450335290574133</v>
      </c>
      <c r="H36" s="40">
        <v>6.7085098391609632</v>
      </c>
      <c r="I36" s="65">
        <f>I37/'2.4.1.1.'!I$4*100</f>
        <v>6.1527992808270486</v>
      </c>
      <c r="J36" s="20">
        <f>J37/'2.4.1.1.'!J$4*100</f>
        <v>5.9430107868252744</v>
      </c>
      <c r="K36" s="21">
        <f>K37/'2.4.1.1.'!K$4*100</f>
        <v>7.1295611210544232</v>
      </c>
      <c r="L36" s="20">
        <f>L37/'2.4.1.1.'!L$4*100</f>
        <v>6.8559770479983504</v>
      </c>
      <c r="M36" s="20">
        <f>M37/'2.4.1.1.'!M$4*100</f>
        <v>6.062310840624777</v>
      </c>
      <c r="N36" s="20">
        <f>N37/'2.4.1.1.'!N$4*100</f>
        <v>6.3567770735781224</v>
      </c>
      <c r="O36" s="20">
        <f>O37/'2.4.1.1.'!O$4*100</f>
        <v>6.9836226193604096</v>
      </c>
      <c r="P36" s="65">
        <f>P37/'2.4.1.1.'!P$4*100</f>
        <v>7.3086439986164571</v>
      </c>
      <c r="Q36" s="20">
        <f>Q37/'2.4.1.1.'!Q$4*100</f>
        <v>7.5769153118912369</v>
      </c>
      <c r="R36" s="20">
        <f>R37/'2.4.1.1.'!R$4*100</f>
        <v>7.9765279927588972</v>
      </c>
      <c r="S36" s="20">
        <f>S37/'2.4.1.1.'!S$4*100</f>
        <v>8.3703659682732834</v>
      </c>
      <c r="T36" s="21">
        <f>T37/'2.4.1.1.'!T$4*100</f>
        <v>8.6523021991641968</v>
      </c>
      <c r="U36" s="21">
        <f>U37/'2.4.1.1.'!U$4*100</f>
        <v>9.0091781419857728</v>
      </c>
    </row>
    <row r="37" spans="1:21" customFormat="1" ht="14">
      <c r="A37" s="66"/>
      <c r="B37" s="23" t="s">
        <v>72</v>
      </c>
      <c r="C37" s="166" t="s">
        <v>12</v>
      </c>
      <c r="D37" s="59">
        <v>2568.9</v>
      </c>
      <c r="E37" s="5">
        <v>2655.9</v>
      </c>
      <c r="F37" s="5">
        <v>3241.9</v>
      </c>
      <c r="G37" s="5">
        <v>4075.7</v>
      </c>
      <c r="H37" s="59">
        <v>4718.62</v>
      </c>
      <c r="I37" s="59">
        <f>'[1]ÜDM sahələr üzrə'!AC311</f>
        <v>4927.8999999999996</v>
      </c>
      <c r="J37" s="5">
        <f>'[1]ÜDM sahələr üzrə'!AD311</f>
        <v>4867.1000000000004</v>
      </c>
      <c r="K37" s="6">
        <f>'[1]ÜDM sahələr üzrə'!AE311</f>
        <v>5174.5</v>
      </c>
      <c r="L37" s="5">
        <f>'[1]ÜDM sahələr üzrə'!AF311</f>
        <v>6389.99</v>
      </c>
      <c r="M37" s="5">
        <f>'[1]ÜDM sahələr üzrə'!AG311</f>
        <v>8121.84</v>
      </c>
      <c r="N37" s="5">
        <f>'[1]ÜDM sahələr üzrə'!AH311</f>
        <v>7827</v>
      </c>
      <c r="O37" s="5">
        <f>'[1]ÜDM sahələr üzrə'!AI311</f>
        <v>8822.9</v>
      </c>
      <c r="P37" s="59">
        <f>'[1]ÜDM sahələr üzrə'!AJ311</f>
        <v>9364.8734811793256</v>
      </c>
      <c r="Q37" s="5">
        <f>'[1]ÜDM sahələr üzrə'!AK311</f>
        <v>9854.2378025028993</v>
      </c>
      <c r="R37" s="5">
        <f>'[1]ÜDM sahələr üzrə'!AL311</f>
        <v>10961.575466886889</v>
      </c>
      <c r="S37" s="5">
        <f>'[1]ÜDM sahələr üzrə'!AM311</f>
        <v>12278.744966953698</v>
      </c>
      <c r="T37" s="6">
        <f>'[1]ÜDM sahələr üzrə'!AN311</f>
        <v>13789.3766587717</v>
      </c>
      <c r="U37" s="6">
        <f>'[1]ÜDM sahələr üzrə'!AO311</f>
        <v>15170.820419649739</v>
      </c>
    </row>
    <row r="38" spans="1:21" customFormat="1" ht="14">
      <c r="A38" s="66"/>
      <c r="B38" s="23" t="s">
        <v>16</v>
      </c>
      <c r="C38" s="166" t="s">
        <v>6</v>
      </c>
      <c r="D38" s="59">
        <v>6.25</v>
      </c>
      <c r="E38" s="5">
        <v>4.7000000000000028</v>
      </c>
      <c r="F38" s="5">
        <v>-1</v>
      </c>
      <c r="G38" s="5">
        <v>-0.7</v>
      </c>
      <c r="H38" s="59">
        <v>8.5</v>
      </c>
      <c r="I38" s="59">
        <f>'[1]ÜDM sahələr üzrə'!AC313</f>
        <v>7.7</v>
      </c>
      <c r="J38" s="5">
        <f>'[1]ÜDM sahələr üzrə'!AD313</f>
        <v>1.25</v>
      </c>
      <c r="K38" s="6">
        <f>'[1]ÜDM sahələr üzrə'!AE313</f>
        <v>4.8899999999999997</v>
      </c>
      <c r="L38" s="5">
        <f>'[1]ÜDM sahələr üzrə'!AF313</f>
        <v>16.399999999999999</v>
      </c>
      <c r="M38" s="5">
        <f>'[1]ÜDM sahələr üzrə'!AG313</f>
        <v>24.78</v>
      </c>
      <c r="N38" s="5">
        <f>'[1]ÜDM sahələr üzrə'!AH313</f>
        <v>-7</v>
      </c>
      <c r="O38" s="5">
        <f>'[1]ÜDM sahələr üzrə'!AI313</f>
        <v>14.1</v>
      </c>
      <c r="P38" s="59">
        <f>'[1]ÜDM sahələr üzrə'!AJ313</f>
        <v>7.8006886581732999</v>
      </c>
      <c r="Q38" s="5">
        <f>'[1]ÜDM sahələr üzrə'!AK313</f>
        <v>2.57522746363369</v>
      </c>
      <c r="R38" s="5">
        <f>'[1]ÜDM sahələr üzrə'!AL313</f>
        <v>2.7905005487553995</v>
      </c>
      <c r="S38" s="5">
        <f>'[1]ÜDM sahələr üzrə'!AM313</f>
        <v>2.689877540354725</v>
      </c>
      <c r="T38" s="6">
        <f>'[1]ÜDM sahələr üzrə'!AN313</f>
        <v>2.6718545919760452</v>
      </c>
      <c r="U38" s="6">
        <f>'[1]ÜDM sahələr üzrə'!AO313</f>
        <v>0.55273521848247209</v>
      </c>
    </row>
    <row r="39" spans="1:21" customFormat="1" ht="14">
      <c r="A39" s="66"/>
      <c r="B39" s="23" t="s">
        <v>56</v>
      </c>
      <c r="C39" s="166" t="s">
        <v>6</v>
      </c>
      <c r="D39" s="59">
        <v>-10.239522004227879</v>
      </c>
      <c r="E39" s="5">
        <v>-1.2543805611334449</v>
      </c>
      <c r="F39" s="5">
        <v>9.8000000000000007</v>
      </c>
      <c r="G39" s="5">
        <v>26.605725565866891</v>
      </c>
      <c r="H39" s="60">
        <v>6.7045789765101063</v>
      </c>
      <c r="I39" s="59">
        <f>'[1]ÜDM sahələr üzrə'!AC314</f>
        <v>-3.0309770760026993</v>
      </c>
      <c r="J39" s="5">
        <f>'[1]ÜDM sahələr üzrə'!AD314</f>
        <v>-2.4531271803605392</v>
      </c>
      <c r="K39" s="6">
        <f>'[1]ÜDM sahələr üzrə'!AE314</f>
        <v>1.3594012619365827</v>
      </c>
      <c r="L39" s="5">
        <f>'[1]ÜDM sahələr üzrə'!AF314</f>
        <v>6.0910644619613947</v>
      </c>
      <c r="M39" s="5">
        <f>'[1]ÜDM sahələr üzrə'!AG314</f>
        <v>1.8613129719214498</v>
      </c>
      <c r="N39" s="5">
        <f>'[1]ÜDM sahələr üzrə'!AH314</f>
        <v>3.6234280933638843</v>
      </c>
      <c r="O39" s="5">
        <f>'[1]ÜDM sahələr üzrə'!AI314</f>
        <v>-1.2060434413920547</v>
      </c>
      <c r="P39" s="59">
        <f>'[1]ÜDM sahələr üzrə'!AJ314</f>
        <v>-1.5379162898399699</v>
      </c>
      <c r="Q39" s="5">
        <f>'[1]ÜDM sahələr üzrə'!AK314</f>
        <v>2.5837652185115587</v>
      </c>
      <c r="R39" s="5">
        <f>'[1]ÜDM sahələr üzrə'!AL314</f>
        <v>8.2173659437255111</v>
      </c>
      <c r="S39" s="5">
        <f>'[1]ÜDM sahələr üzrə'!AM314</f>
        <v>9.082068530593375</v>
      </c>
      <c r="T39" s="6">
        <f>'[1]ÜDM sahələr üzrə'!AN314</f>
        <v>9.3803348733726608</v>
      </c>
      <c r="U39" s="6">
        <f>'[1]ÜDM sahələr üzrə'!AO314</f>
        <v>9.4134076613706839</v>
      </c>
    </row>
    <row r="40" spans="1:21" customFormat="1" ht="28">
      <c r="A40" s="69" t="s">
        <v>374</v>
      </c>
      <c r="B40" s="26" t="s">
        <v>132</v>
      </c>
      <c r="C40" s="170" t="s">
        <v>31</v>
      </c>
      <c r="D40" s="65">
        <v>1.7391976900072188</v>
      </c>
      <c r="E40" s="20">
        <v>1.8146510749126057</v>
      </c>
      <c r="F40" s="20">
        <v>2.0000036778294925</v>
      </c>
      <c r="G40" s="20">
        <v>1.7510906045821939</v>
      </c>
      <c r="H40" s="40">
        <v>1.6264363852143513</v>
      </c>
      <c r="I40" s="65">
        <f>I41/'2.4.1.1.'!I$4*100</f>
        <v>1.5673225790341108</v>
      </c>
      <c r="J40" s="20">
        <f>J41/'2.4.1.1.'!J$4*100</f>
        <v>1.7976414046072957</v>
      </c>
      <c r="K40" s="21">
        <f>K41/'2.4.1.1.'!K$4*100</f>
        <v>2.1200610101394224</v>
      </c>
      <c r="L40" s="20">
        <f>L41/'2.4.1.1.'!L$4*100</f>
        <v>1.7639630398956256</v>
      </c>
      <c r="M40" s="20">
        <f>M41/'2.4.1.1.'!M$4*100</f>
        <v>1.3807442450484773</v>
      </c>
      <c r="N40" s="20">
        <f>N41/'2.4.1.1.'!N$4*100</f>
        <v>1.7440325907501801</v>
      </c>
      <c r="O40" s="20">
        <f>O41/'2.4.1.1.'!O$4*100</f>
        <v>1.8992850961877958</v>
      </c>
      <c r="P40" s="65">
        <f>P41/'2.4.1.1.'!P$4*100</f>
        <v>2.0691445031036522</v>
      </c>
      <c r="Q40" s="20">
        <f>Q41/'2.4.1.1.'!Q$4*100</f>
        <v>2.243997323236071</v>
      </c>
      <c r="R40" s="20">
        <f>R41/'2.4.1.1.'!R$4*100</f>
        <v>2.3375659006546994</v>
      </c>
      <c r="S40" s="20">
        <f>S41/'2.4.1.1.'!S$4*100</f>
        <v>2.410684562691614</v>
      </c>
      <c r="T40" s="21">
        <f>T41/'2.4.1.1.'!T$4*100</f>
        <v>2.4430353157072195</v>
      </c>
      <c r="U40" s="21">
        <f>U41/'2.4.1.1.'!U$4*100</f>
        <v>2.5460893252530061</v>
      </c>
    </row>
    <row r="41" spans="1:21" customFormat="1" ht="14">
      <c r="A41" s="66"/>
      <c r="B41" s="23" t="s">
        <v>72</v>
      </c>
      <c r="C41" s="166" t="s">
        <v>12</v>
      </c>
      <c r="D41" s="59">
        <v>1011.9</v>
      </c>
      <c r="E41" s="5">
        <v>1070.9000000000001</v>
      </c>
      <c r="F41" s="5">
        <v>1087.6000000000001</v>
      </c>
      <c r="G41" s="5">
        <v>1058.0999999999999</v>
      </c>
      <c r="H41" s="59">
        <v>1144</v>
      </c>
      <c r="I41" s="59">
        <f>'[1]ÜDM sahələr üzrə'!AC320</f>
        <v>1255.3</v>
      </c>
      <c r="J41" s="5">
        <f>'[1]ÜDM sahələr üzrə'!AD320</f>
        <v>1472.2</v>
      </c>
      <c r="K41" s="6">
        <f>'[1]ÜDM sahələr üzrə'!AE320</f>
        <v>1538.7</v>
      </c>
      <c r="L41" s="5">
        <f>'[1]ÜDM sahələr üzrə'!AF320</f>
        <v>1644.07</v>
      </c>
      <c r="M41" s="5">
        <f>'[1]ÜDM sahələr üzrə'!AG320</f>
        <v>1849.82</v>
      </c>
      <c r="N41" s="5">
        <f>'[1]ÜDM sahələr üzrə'!AH320</f>
        <v>2147.4</v>
      </c>
      <c r="O41" s="5">
        <f>'[1]ÜDM sahələr üzrə'!AI320</f>
        <v>2399.5</v>
      </c>
      <c r="P41" s="59">
        <f>'[1]ÜDM sahələr üzrə'!AJ320</f>
        <v>2651.2820284462518</v>
      </c>
      <c r="Q41" s="5">
        <f>'[1]ÜDM sahələr üzrə'!AK320</f>
        <v>2918.4545875343456</v>
      </c>
      <c r="R41" s="5">
        <f>'[1]ÜDM sahələr üzrə'!AL320</f>
        <v>3212.35066837462</v>
      </c>
      <c r="S41" s="5">
        <f>'[1]ÜDM sahələr üzrə'!AM320</f>
        <v>3536.3066624874036</v>
      </c>
      <c r="T41" s="6">
        <f>'[1]ÜDM sahələr üzrə'!AN320</f>
        <v>3893.5226005192358</v>
      </c>
      <c r="U41" s="6">
        <f>'[1]ÜDM sahələr üzrə'!AO320</f>
        <v>4287.4348044900198</v>
      </c>
    </row>
    <row r="42" spans="1:21" customFormat="1" ht="14">
      <c r="A42" s="66"/>
      <c r="B42" s="23" t="s">
        <v>16</v>
      </c>
      <c r="C42" s="166" t="s">
        <v>6</v>
      </c>
      <c r="D42" s="59">
        <v>10.65</v>
      </c>
      <c r="E42" s="5">
        <v>15.099999999999994</v>
      </c>
      <c r="F42" s="5">
        <v>6.8</v>
      </c>
      <c r="G42" s="5">
        <v>4.7</v>
      </c>
      <c r="H42" s="59">
        <v>6.6</v>
      </c>
      <c r="I42" s="59">
        <f>'[1]ÜDM sahələr üzrə'!AC322</f>
        <v>9.8000000000000007</v>
      </c>
      <c r="J42" s="5">
        <f>'[1]ÜDM sahələr üzrə'!AD322</f>
        <v>17.2</v>
      </c>
      <c r="K42" s="6">
        <f>'[1]ÜDM sahələr üzrə'!AE322</f>
        <v>0.76</v>
      </c>
      <c r="L42" s="5">
        <f>'[1]ÜDM sahələr üzrə'!AF322</f>
        <v>6.4</v>
      </c>
      <c r="M42" s="5">
        <f>'[1]ÜDM sahələr üzrə'!AG322</f>
        <v>15.4</v>
      </c>
      <c r="N42" s="5">
        <f>'[1]ÜDM sahələr üzrə'!AH322</f>
        <v>16.899999999999999</v>
      </c>
      <c r="O42" s="5">
        <f>'[1]ÜDM sahələr üzrə'!AI322</f>
        <v>11.4</v>
      </c>
      <c r="P42" s="59">
        <f>'[1]ÜDM sahələr üzrə'!AJ322</f>
        <v>10.225726740150492</v>
      </c>
      <c r="Q42" s="5">
        <f>'[1]ÜDM sahələr üzrə'!AK322</f>
        <v>10.075566750629733</v>
      </c>
      <c r="R42" s="5">
        <f>'[1]ÜDM sahələr üzrə'!AL322</f>
        <v>10.068649885583511</v>
      </c>
      <c r="S42" s="5">
        <f>'[1]ÜDM sahələr üzrə'!AM322</f>
        <v>10.083160083160081</v>
      </c>
      <c r="T42" s="6">
        <f>'[1]ÜDM sahələr üzrə'!AN322</f>
        <v>10.103871576959406</v>
      </c>
      <c r="U42" s="6">
        <f>'[1]ÜDM sahələr üzrə'!AO322</f>
        <v>10.120068610634661</v>
      </c>
    </row>
    <row r="43" spans="1:21" customFormat="1" ht="14">
      <c r="A43" s="66"/>
      <c r="B43" s="23" t="s">
        <v>56</v>
      </c>
      <c r="C43" s="166" t="s">
        <v>6</v>
      </c>
      <c r="D43" s="59">
        <v>-3.2372027758176074</v>
      </c>
      <c r="E43" s="5">
        <v>-8.0533313001863434</v>
      </c>
      <c r="F43" s="5">
        <v>-4.8981517523676388</v>
      </c>
      <c r="G43" s="5">
        <v>-7.0881935094504342</v>
      </c>
      <c r="H43" s="59">
        <v>1.4243201689176033</v>
      </c>
      <c r="I43" s="59">
        <f>'[1]ÜDM sahələr üzrə'!AC323</f>
        <v>-6.4643917102941373E-2</v>
      </c>
      <c r="J43" s="5">
        <f>'[1]ÜDM sahələr üzrə'!AD323</f>
        <v>6.7182722050333155E-2</v>
      </c>
      <c r="K43" s="6">
        <f>'[1]ÜDM sahələr üzrə'!AE323</f>
        <v>3.7287111095195513</v>
      </c>
      <c r="L43" s="5">
        <f>'[1]ÜDM sahələr üzrə'!AF323</f>
        <v>0.42104188136551102</v>
      </c>
      <c r="M43" s="5">
        <f>'[1]ÜDM sahələr üzrə'!AG323</f>
        <v>-2.5002825395094845</v>
      </c>
      <c r="N43" s="5">
        <f>'[1]ÜDM sahələr üzrə'!AH323</f>
        <v>-0.6954913394620803</v>
      </c>
      <c r="O43" s="5">
        <f>'[1]ÜDM sahələr üzrə'!AI323</f>
        <v>0.30500748347672868</v>
      </c>
      <c r="P43" s="59">
        <f>'[1]ÜDM sahələr üzrə'!AJ323</f>
        <v>0.24257238577583506</v>
      </c>
      <c r="Q43" s="5">
        <f>'[1]ÜDM sahələr üzrə'!AK323</f>
        <v>1.4003691209296676E-3</v>
      </c>
      <c r="R43" s="5">
        <f>'[1]ÜDM sahələr üzrə'!AL323</f>
        <v>1.4664352475222131E-3</v>
      </c>
      <c r="S43" s="5">
        <f>'[1]ÜDM sahələr üzrə'!AM323</f>
        <v>1.400740565671299E-3</v>
      </c>
      <c r="T43" s="6">
        <f>'[1]ÜDM sahələr üzrə'!AN323</f>
        <v>-2.2587187986573554E-3</v>
      </c>
      <c r="U43" s="6">
        <f>'[1]ÜDM sahələr üzrə'!AO323</f>
        <v>-2.6811250898362005E-3</v>
      </c>
    </row>
    <row r="44" spans="1:21" customFormat="1" ht="28">
      <c r="A44" s="69" t="s">
        <v>375</v>
      </c>
      <c r="B44" s="207" t="s">
        <v>134</v>
      </c>
      <c r="C44" s="170" t="s">
        <v>31</v>
      </c>
      <c r="D44" s="65">
        <v>15.790966278230382</v>
      </c>
      <c r="E44" s="20">
        <v>17.267398808081463</v>
      </c>
      <c r="F44" s="20">
        <v>19.712430512009032</v>
      </c>
      <c r="G44" s="20">
        <v>17.49319820207463</v>
      </c>
      <c r="H44" s="65">
        <v>16.509466678027213</v>
      </c>
      <c r="I44" s="65">
        <f>I45/'2.4.1.1.'!I$4*100</f>
        <v>15.21487789042601</v>
      </c>
      <c r="J44" s="20">
        <f>J45/'2.4.1.1.'!J$4*100</f>
        <v>16.337021742156534</v>
      </c>
      <c r="K44" s="21">
        <f>K45/'2.4.1.1.'!K$4*100</f>
        <v>19.949130660626277</v>
      </c>
      <c r="L44" s="20">
        <f>L45/'2.4.1.1.'!L$4*100</f>
        <v>17.420163685367022</v>
      </c>
      <c r="M44" s="20">
        <f>M45/'2.4.1.1.'!M$4*100</f>
        <v>14.658989230453152</v>
      </c>
      <c r="N44" s="20">
        <f>N45/'2.4.1.1.'!N$4*100</f>
        <v>18.707376873707148</v>
      </c>
      <c r="O44" s="20">
        <f>O45/'2.4.1.1.'!O$4*100</f>
        <v>19.921953210640293</v>
      </c>
      <c r="P44" s="65">
        <f>P45/'2.4.1.1.'!P$4*100</f>
        <v>20.958668577646261</v>
      </c>
      <c r="Q44" s="20">
        <f>Q45/'2.4.1.1.'!Q$4*100</f>
        <v>22.33910329217338</v>
      </c>
      <c r="R44" s="20">
        <f>R45/'2.4.1.1.'!R$4*100</f>
        <v>22.893528355616535</v>
      </c>
      <c r="S44" s="20">
        <f>S45/'2.4.1.1.'!S$4*100</f>
        <v>23.569109861172166</v>
      </c>
      <c r="T44" s="21">
        <f>T45/'2.4.1.1.'!T$4*100</f>
        <v>23.77719890736331</v>
      </c>
      <c r="U44" s="21">
        <f>U45/'2.4.1.1.'!U$4*100</f>
        <v>24.401722527600601</v>
      </c>
    </row>
    <row r="45" spans="1:21" customFormat="1" ht="14">
      <c r="A45" s="66"/>
      <c r="B45" s="23" t="s">
        <v>72</v>
      </c>
      <c r="C45" s="166" t="s">
        <v>12</v>
      </c>
      <c r="D45" s="59">
        <v>9187.5</v>
      </c>
      <c r="E45" s="5">
        <v>10190.200000000003</v>
      </c>
      <c r="F45" s="5">
        <v>10719.6</v>
      </c>
      <c r="G45" s="5">
        <v>10570.3</v>
      </c>
      <c r="H45" s="59">
        <v>11612.4</v>
      </c>
      <c r="I45" s="59">
        <f>'[1]ÜDM sahələr üzrə'!AC327</f>
        <v>12185.9</v>
      </c>
      <c r="J45" s="5">
        <f>'[1]ÜDM sahələr üzrə'!AD327</f>
        <v>13379.4</v>
      </c>
      <c r="K45" s="6">
        <f>'[1]ÜDM sahələr üzrə'!AE327</f>
        <v>14478.699999999999</v>
      </c>
      <c r="L45" s="5">
        <f>'[1]ÜDM sahələr üzrə'!AF327</f>
        <v>16236.15</v>
      </c>
      <c r="M45" s="5">
        <f>'[1]ÜDM sahələr üzrə'!AG327</f>
        <v>19639.04</v>
      </c>
      <c r="N45" s="5">
        <f>'[1]ÜDM sahələr üzrə'!AH327</f>
        <v>23034.1</v>
      </c>
      <c r="O45" s="5">
        <f>'[1]ÜDM sahələr üzrə'!AI327</f>
        <v>25168.799999999999</v>
      </c>
      <c r="P45" s="59">
        <f>'[1]ÜDM sahələr üzrə'!AJ327</f>
        <v>26855.22507332157</v>
      </c>
      <c r="Q45" s="5">
        <f>'[1]ÜDM sahələr üzrə'!AK327</f>
        <v>29053.358401706239</v>
      </c>
      <c r="R45" s="5">
        <f>'[1]ÜDM sahələr üzrə'!AL327</f>
        <v>31460.948798928246</v>
      </c>
      <c r="S45" s="5">
        <f>'[1]ÜDM sahələr üzrə'!AM327</f>
        <v>34574.245639960529</v>
      </c>
      <c r="T45" s="6">
        <f>'[1]ÜDM sahələr üzrə'!AN327</f>
        <v>37894.278780026863</v>
      </c>
      <c r="U45" s="6">
        <f>'[1]ÜDM sahələr üzrə'!AO327</f>
        <v>41090.779265549441</v>
      </c>
    </row>
    <row r="46" spans="1:21" customFormat="1" ht="14">
      <c r="A46" s="66"/>
      <c r="B46" s="23" t="s">
        <v>16</v>
      </c>
      <c r="C46" s="166" t="s">
        <v>6</v>
      </c>
      <c r="D46" s="59">
        <v>7.2168694103854421</v>
      </c>
      <c r="E46" s="5">
        <v>5.1641571638456583</v>
      </c>
      <c r="F46" s="5">
        <v>1.664092137669499</v>
      </c>
      <c r="G46" s="5">
        <v>-2.9126231484718659</v>
      </c>
      <c r="H46" s="59">
        <v>0.61633854253810227</v>
      </c>
      <c r="I46" s="59">
        <f>'[1]ÜDM sahələr üzrə'!AC329</f>
        <v>1.6</v>
      </c>
      <c r="J46" s="5">
        <f>'[1]ÜDM sahələr üzrə'!AD329</f>
        <v>3.2</v>
      </c>
      <c r="K46" s="6">
        <f>'[1]ÜDM sahələr üzrə'!AE329</f>
        <v>-2.2799999999999998</v>
      </c>
      <c r="L46" s="5">
        <f>'[1]ÜDM sahələr üzrə'!AF329</f>
        <v>5</v>
      </c>
      <c r="M46" s="5">
        <f>'[1]ÜDM sahələr üzrə'!AG329</f>
        <v>4.0999999999999996</v>
      </c>
      <c r="N46" s="5">
        <f>'[1]ÜDM sahələr üzrə'!AH329</f>
        <v>3.47</v>
      </c>
      <c r="O46" s="5">
        <f>'[1]ÜDM sahələr üzrə'!AI329</f>
        <v>4.0490000000000004</v>
      </c>
      <c r="P46" s="59">
        <f>'[1]ÜDM sahələr üzrə'!AJ329</f>
        <v>1.5294747147463141</v>
      </c>
      <c r="Q46" s="5">
        <f>'[1]ÜDM sahələr üzrə'!AK329</f>
        <v>1.9701453481796136</v>
      </c>
      <c r="R46" s="5">
        <f>'[1]ÜDM sahələr üzrə'!AL329</f>
        <v>1.8500412091484719</v>
      </c>
      <c r="S46" s="5">
        <f>'[1]ÜDM sahələr üzrə'!AM329</f>
        <v>1.8980830135128173</v>
      </c>
      <c r="T46" s="6">
        <f>'[1]ÜDM sahələr üzrə'!AN329</f>
        <v>2.0846119652401711</v>
      </c>
      <c r="U46" s="6">
        <f>'[1]ÜDM sahələr üzrə'!AO329</f>
        <v>1.8530449951571768</v>
      </c>
    </row>
    <row r="47" spans="1:21" customFormat="1" ht="14">
      <c r="A47" s="66"/>
      <c r="B47" s="23" t="s">
        <v>56</v>
      </c>
      <c r="C47" s="166" t="s">
        <v>6</v>
      </c>
      <c r="D47" s="59">
        <v>10.328195811767799</v>
      </c>
      <c r="E47" s="5">
        <v>5.4672470999745286</v>
      </c>
      <c r="F47" s="5">
        <v>3.473296540797179</v>
      </c>
      <c r="G47" s="5">
        <v>1.5654427464354654</v>
      </c>
      <c r="H47" s="60">
        <v>9.1858010167871669</v>
      </c>
      <c r="I47" s="59">
        <f>'[1]ÜDM sahələr üzrə'!AC330</f>
        <v>3.2861084960225782</v>
      </c>
      <c r="J47" s="5">
        <f>'[1]ÜDM sahələr üzrə'!AD330</f>
        <v>6.3896378906845683</v>
      </c>
      <c r="K47" s="6">
        <f>'[1]ÜDM sahələr üzrə'!AE330</f>
        <v>10.741263270235564</v>
      </c>
      <c r="L47" s="5">
        <f>'[1]ÜDM sahələr üzrə'!AF330</f>
        <v>6.7982622749280068</v>
      </c>
      <c r="M47" s="5">
        <f>'[1]ÜDM sahələr üzrə'!AG330</f>
        <v>16.194740461909049</v>
      </c>
      <c r="N47" s="5">
        <f>'[1]ÜDM sahələr üzrə'!AH330</f>
        <v>13.353920181965023</v>
      </c>
      <c r="O47" s="5">
        <f>'[1]ÜDM sahələr üzrə'!AI330</f>
        <v>5.0154871037591704</v>
      </c>
      <c r="P47" s="59">
        <f>'[1]ÜDM sahələr üzrə'!AJ330</f>
        <v>5.0930866088699531</v>
      </c>
      <c r="Q47" s="5">
        <f>'[1]ÜDM sahələr üzrə'!AK330</f>
        <v>6.0948997308016857</v>
      </c>
      <c r="R47" s="5">
        <f>'[1]ÜDM sahələr üzrə'!AL330</f>
        <v>6.3198279868935714</v>
      </c>
      <c r="S47" s="5">
        <f>'[1]ÜDM sahələr üzrə'!AM330</f>
        <v>7.848692292141024</v>
      </c>
      <c r="T47" s="6">
        <f>'[1]ÜDM sahələr üzrə'!AN330</f>
        <v>7.3644862443741204</v>
      </c>
      <c r="U47" s="6">
        <f>'[1]ÜDM sahələr üzrə'!AO330</f>
        <v>6.4625133040066061</v>
      </c>
    </row>
    <row r="48" spans="1:21" customFormat="1" ht="28">
      <c r="A48" s="117" t="s">
        <v>27</v>
      </c>
      <c r="B48" s="125" t="s">
        <v>199</v>
      </c>
      <c r="C48" s="167" t="s">
        <v>31</v>
      </c>
      <c r="D48" s="118">
        <v>6.6656354198893126</v>
      </c>
      <c r="E48" s="119">
        <v>7.4778739318230727</v>
      </c>
      <c r="F48" s="119">
        <v>8.9352867511709295</v>
      </c>
      <c r="G48" s="119">
        <v>8.1447806544289474</v>
      </c>
      <c r="H48" s="120">
        <v>7.114865871061955</v>
      </c>
      <c r="I48" s="118">
        <f>I49/'2.4.1.1.'!I$4*100</f>
        <v>7.7389751785446741</v>
      </c>
      <c r="J48" s="119">
        <f>J49/'2.4.1.1.'!J$4*100</f>
        <v>8.9900386098500302</v>
      </c>
      <c r="K48" s="121">
        <f>K49/'2.4.1.1.'!K$4*100</f>
        <v>9.4359042190412818</v>
      </c>
      <c r="L48" s="119">
        <f>L49/'2.4.1.1.'!L$4*100</f>
        <v>8.132338803817893</v>
      </c>
      <c r="M48" s="119">
        <f>M49/'2.4.1.1.'!M$4*100</f>
        <v>7.444122467510633</v>
      </c>
      <c r="N48" s="119">
        <f>N49/'2.4.1.1.'!N$4*100</f>
        <v>9.2340166466668183</v>
      </c>
      <c r="O48" s="119">
        <f>O49/'2.4.1.1.'!O$4*100</f>
        <v>9.7858101990745308</v>
      </c>
      <c r="P48" s="118">
        <f>P49/'2.4.1.1.'!P$4*100</f>
        <v>10.005657752063183</v>
      </c>
      <c r="Q48" s="119">
        <f>Q49/'2.4.1.1.'!Q$4*100</f>
        <v>10.20808167529314</v>
      </c>
      <c r="R48" s="119">
        <f>R49/'2.4.1.1.'!R$4*100</f>
        <v>10.240338318009973</v>
      </c>
      <c r="S48" s="119">
        <f>S49/'2.4.1.1.'!S$4*100</f>
        <v>10.256750202558882</v>
      </c>
      <c r="T48" s="121">
        <f>T49/'2.4.1.1.'!T$4*100</f>
        <v>10.161285989802041</v>
      </c>
      <c r="U48" s="121">
        <f>U49/'2.4.1.1.'!U$4*100</f>
        <v>10.098891693733201</v>
      </c>
    </row>
    <row r="49" spans="1:21" ht="14">
      <c r="A49" s="68"/>
      <c r="B49" s="23" t="s">
        <v>72</v>
      </c>
      <c r="C49" s="166" t="s">
        <v>12</v>
      </c>
      <c r="D49" s="59">
        <v>3878.2</v>
      </c>
      <c r="E49" s="5">
        <v>4413</v>
      </c>
      <c r="F49" s="5">
        <v>4859</v>
      </c>
      <c r="G49" s="5">
        <v>4921.5</v>
      </c>
      <c r="H49" s="59">
        <v>5004.442</v>
      </c>
      <c r="I49" s="59">
        <f>'[1]ÜDM sahələr üzrə'!AC332</f>
        <v>6198.3</v>
      </c>
      <c r="J49" s="5">
        <f>'[1]ÜDM sahələr üzrə'!AD332</f>
        <v>7362.5</v>
      </c>
      <c r="K49" s="6">
        <f>'[1]ÜDM sahələr üzrə'!AE332</f>
        <v>6848.4</v>
      </c>
      <c r="L49" s="5">
        <f>'[1]ÜDM sahələr üzrə'!AF332</f>
        <v>7579.5999999999995</v>
      </c>
      <c r="M49" s="5">
        <f>'[1]ÜDM sahələr üzrə'!AG332</f>
        <v>9973.09</v>
      </c>
      <c r="N49" s="5">
        <f>'[1]ÜDM sahələr üzrə'!AH332</f>
        <v>11369.7</v>
      </c>
      <c r="O49" s="5">
        <f>'[1]ÜDM sahələr üzrə'!AI332</f>
        <v>12363.1</v>
      </c>
      <c r="P49" s="59">
        <f>'[1]ÜDM sahələr üzrə'!AJ332</f>
        <v>12820.670833302429</v>
      </c>
      <c r="Q49" s="5">
        <f>'[1]ÜDM sahələr üzrə'!AK332</f>
        <v>13276.229203438503</v>
      </c>
      <c r="R49" s="5">
        <f>'[1]ÜDM sahələr üzrə'!AL332</f>
        <v>14072.569090363726</v>
      </c>
      <c r="S49" s="5">
        <f>'[1]ÜDM sahələr üzrə'!AM332</f>
        <v>15045.939497069719</v>
      </c>
      <c r="T49" s="6">
        <f>'[1]ÜDM sahələr üzrə'!AN332</f>
        <v>16194.279467540488</v>
      </c>
      <c r="U49" s="6">
        <f>'[1]ÜDM sahələr üzrə'!AO332</f>
        <v>17005.82116465388</v>
      </c>
    </row>
    <row r="50" spans="1:21" ht="14">
      <c r="A50" s="68"/>
      <c r="B50" s="23" t="s">
        <v>16</v>
      </c>
      <c r="C50" s="166" t="s">
        <v>6</v>
      </c>
      <c r="D50" s="59">
        <v>8.5</v>
      </c>
      <c r="E50" s="5">
        <v>4.9000000000000057</v>
      </c>
      <c r="F50" s="5">
        <v>3.7</v>
      </c>
      <c r="G50" s="5">
        <v>-4.4020000000000001</v>
      </c>
      <c r="H50" s="59">
        <v>2.5</v>
      </c>
      <c r="I50" s="59">
        <f>'[1]ÜDM sahələr üzrə'!AC333</f>
        <v>1.6473401406762052</v>
      </c>
      <c r="J50" s="5">
        <f>'[1]ÜDM sahələr üzrə'!AD333</f>
        <v>3.1396570027265538</v>
      </c>
      <c r="K50" s="6">
        <f>'[1]ÜDM sahələr üzrə'!AE333</f>
        <v>-3.1640228183361634</v>
      </c>
      <c r="L50" s="5">
        <f>'[1]ÜDM sahələr üzrə'!AF333</f>
        <v>8.6218556159102864</v>
      </c>
      <c r="M50" s="5">
        <f>'[1]ÜDM sahələr üzrə'!AG333</f>
        <v>7.8128765634070412</v>
      </c>
      <c r="N50" s="5">
        <f>'[1]ÜDM sahələr üzrə'!AH333</f>
        <v>6.922238744461346</v>
      </c>
      <c r="O50" s="5">
        <f>'[1]ÜDM sahələr üzrə'!AI333</f>
        <v>5.2962618186935444</v>
      </c>
      <c r="P50" s="59">
        <f>'[1]ÜDM sahələr üzrə'!AJ333</f>
        <v>3.8880275770794057</v>
      </c>
      <c r="Q50" s="5">
        <f>'[1]ÜDM sahələr üzrə'!AK333</f>
        <v>3.4714997593335446</v>
      </c>
      <c r="R50" s="5">
        <f>'[1]ÜDM sahələr üzrə'!AL333</f>
        <v>3.3771903172719089</v>
      </c>
      <c r="S50" s="5">
        <f>'[1]ÜDM sahələr üzrə'!AM333</f>
        <v>3.1816078391028459</v>
      </c>
      <c r="T50" s="6">
        <f>'[1]ÜDM sahələr üzrə'!AN333</f>
        <v>3.6712404012126507</v>
      </c>
      <c r="U50" s="6">
        <f>'[1]ÜDM sahələr üzrə'!AO333</f>
        <v>1.24316387346681</v>
      </c>
    </row>
    <row r="51" spans="1:21" ht="14">
      <c r="A51" s="92"/>
      <c r="B51" s="24" t="s">
        <v>56</v>
      </c>
      <c r="C51" s="168" t="s">
        <v>6</v>
      </c>
      <c r="D51" s="60">
        <v>5.3767063733588287</v>
      </c>
      <c r="E51" s="10">
        <v>8.474644930507651</v>
      </c>
      <c r="F51" s="10">
        <v>6.177920455496519</v>
      </c>
      <c r="G51" s="10">
        <v>5.9502007318746735</v>
      </c>
      <c r="H51" s="60">
        <v>-0.79483005131787365</v>
      </c>
      <c r="I51" s="60">
        <f>'[1]ÜDM sahələr üzrə'!AC334</f>
        <v>21.849726380888839</v>
      </c>
      <c r="J51" s="10">
        <f>'[1]ÜDM sahələr üzrə'!AD334</f>
        <v>15.166729138001813</v>
      </c>
      <c r="K51" s="11">
        <f>'[1]ÜDM sahələr üzrə'!AE334</f>
        <v>-3.9434307429288395</v>
      </c>
      <c r="L51" s="10">
        <f>'[1]ÜDM sahələr üzrə'!AF334</f>
        <v>1.8919680689316749</v>
      </c>
      <c r="M51" s="10">
        <f>'[1]ÜDM sahələr üzrə'!AG334</f>
        <v>22.042983923945727</v>
      </c>
      <c r="N51" s="10">
        <f>'[1]ÜDM sahələr üzrə'!AH334</f>
        <v>6.6230800270655266</v>
      </c>
      <c r="O51" s="10">
        <f>'[1]ÜDM sahələr üzrə'!AI334</f>
        <v>3.2679184627368159</v>
      </c>
      <c r="P51" s="60">
        <f>'[1]ÜDM sahələr üzrə'!AJ334</f>
        <v>-0.17993069604663958</v>
      </c>
      <c r="Q51" s="10">
        <f>'[1]ÜDM sahələr üzrə'!AK334</f>
        <v>7.9066925059123605E-2</v>
      </c>
      <c r="R51" s="10">
        <f>'[1]ÜDM sahələr üzrə'!AL334</f>
        <v>2.5354221185167773</v>
      </c>
      <c r="S51" s="10">
        <f>'[1]ÜDM sahələr üzrə'!AM334</f>
        <v>3.620010157446842</v>
      </c>
      <c r="T51" s="11">
        <f>'[1]ÜDM sahələr üzrə'!AN334</f>
        <v>3.8207169906485632</v>
      </c>
      <c r="U51" s="11">
        <f>'[1]ÜDM sahələr üzrə'!AO334</f>
        <v>3.721853617607735</v>
      </c>
    </row>
    <row r="52" spans="1:21">
      <c r="S52" s="97"/>
    </row>
  </sheetData>
  <mergeCells count="6">
    <mergeCell ref="A1:S1"/>
    <mergeCell ref="A2:A3"/>
    <mergeCell ref="B2:B3"/>
    <mergeCell ref="C2:C3"/>
    <mergeCell ref="D2:K2"/>
    <mergeCell ref="P2:T2"/>
  </mergeCells>
  <pageMargins left="0.54" right="7.8740157480315001E-2" top="0.39370078740157499" bottom="0.59055118110236204" header="0.31496062992126" footer="0.31496062992126"/>
  <pageSetup paperSize="9" scale="83" firstPageNumber="4" orientation="portrait" useFirstPageNumber="1" r:id="rId1"/>
  <headerFooter>
    <oddFooter>&amp;L &amp;Csəh.&amp;P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4">
    <pageSetUpPr fitToPage="1"/>
  </sheetPr>
  <dimension ref="A1:U220"/>
  <sheetViews>
    <sheetView view="pageBreakPreview" zoomScaleSheetLayoutView="100" workbookViewId="0">
      <pane xSplit="3" ySplit="3" topLeftCell="Q111" activePane="bottomRight" state="frozenSplit"/>
      <selection activeCell="W14" sqref="W14"/>
      <selection pane="topRight" activeCell="W14" sqref="W14"/>
      <selection pane="bottomLeft" activeCell="W14" sqref="W14"/>
      <selection pane="bottomRight" activeCell="Z96" sqref="Z96"/>
    </sheetView>
  </sheetViews>
  <sheetFormatPr baseColWidth="10" defaultColWidth="9.1640625" defaultRowHeight="13" outlineLevelRow="1" outlineLevelCol="1"/>
  <cols>
    <col min="1" max="1" width="5.5" style="23" hidden="1" customWidth="1"/>
    <col min="2" max="2" width="32.33203125" style="4" customWidth="1"/>
    <col min="3" max="3" width="9.1640625" style="162" customWidth="1"/>
    <col min="4" max="4" width="8.33203125" style="5" hidden="1" customWidth="1" outlineLevel="1"/>
    <col min="5" max="5" width="8" style="5" hidden="1" customWidth="1" outlineLevel="1"/>
    <col min="6" max="6" width="7.83203125" style="5" hidden="1" customWidth="1" outlineLevel="1"/>
    <col min="7" max="7" width="7.83203125" style="5" hidden="1" customWidth="1" collapsed="1"/>
    <col min="8" max="8" width="1" style="59" hidden="1" customWidth="1"/>
    <col min="9" max="10" width="9" style="5" hidden="1" customWidth="1"/>
    <col min="11" max="11" width="10.83203125" style="6" hidden="1" customWidth="1"/>
    <col min="12" max="16" width="10.83203125" style="5" hidden="1" customWidth="1"/>
    <col min="17" max="20" width="10.83203125" style="5" customWidth="1"/>
    <col min="21" max="21" width="10.83203125" style="5" hidden="1" customWidth="1"/>
    <col min="22" max="16384" width="9.1640625" style="5"/>
  </cols>
  <sheetData>
    <row r="1" spans="1:21" customFormat="1" ht="27" customHeight="1">
      <c r="A1" s="242" t="s">
        <v>381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56"/>
      <c r="Q1" s="256"/>
      <c r="R1" s="256"/>
      <c r="S1" s="256"/>
      <c r="T1" s="234"/>
      <c r="U1" s="234"/>
    </row>
    <row r="2" spans="1:21" customFormat="1">
      <c r="A2" s="253" t="s">
        <v>0</v>
      </c>
      <c r="B2" s="239" t="s">
        <v>1</v>
      </c>
      <c r="C2" s="248" t="s">
        <v>2</v>
      </c>
      <c r="D2" s="250" t="s">
        <v>13</v>
      </c>
      <c r="E2" s="251"/>
      <c r="F2" s="251"/>
      <c r="G2" s="251"/>
      <c r="H2" s="251"/>
      <c r="I2" s="251"/>
      <c r="J2" s="251"/>
      <c r="K2" s="252"/>
      <c r="L2" s="235"/>
      <c r="M2" s="236"/>
      <c r="N2" s="236"/>
      <c r="O2" s="236"/>
      <c r="P2" s="239" t="s">
        <v>3</v>
      </c>
      <c r="Q2" s="240"/>
      <c r="R2" s="240"/>
      <c r="S2" s="240"/>
      <c r="T2" s="241"/>
      <c r="U2" s="238"/>
    </row>
    <row r="3" spans="1:21" customFormat="1" ht="12.5" customHeight="1">
      <c r="A3" s="254"/>
      <c r="B3" s="247"/>
      <c r="C3" s="249"/>
      <c r="D3" s="105">
        <f t="shared" ref="D3:K3" si="0">E3-1</f>
        <v>2013</v>
      </c>
      <c r="E3" s="106">
        <f t="shared" si="0"/>
        <v>2014</v>
      </c>
      <c r="F3" s="106">
        <f t="shared" si="0"/>
        <v>2015</v>
      </c>
      <c r="G3" s="106">
        <f t="shared" si="0"/>
        <v>2016</v>
      </c>
      <c r="H3" s="105">
        <f t="shared" si="0"/>
        <v>2017</v>
      </c>
      <c r="I3" s="106">
        <f t="shared" si="0"/>
        <v>2018</v>
      </c>
      <c r="J3" s="106">
        <f>K3-1</f>
        <v>2019</v>
      </c>
      <c r="K3" s="208">
        <f t="shared" si="0"/>
        <v>2020</v>
      </c>
      <c r="L3" s="106">
        <f>M3-1</f>
        <v>2021</v>
      </c>
      <c r="M3" s="106">
        <v>2022</v>
      </c>
      <c r="N3" s="106">
        <v>2023</v>
      </c>
      <c r="O3" s="106">
        <v>2024</v>
      </c>
      <c r="P3" s="220">
        <v>2025</v>
      </c>
      <c r="Q3" s="221">
        <v>2026</v>
      </c>
      <c r="R3" s="221">
        <v>2027</v>
      </c>
      <c r="S3" s="221">
        <v>2028</v>
      </c>
      <c r="T3" s="218">
        <v>2029</v>
      </c>
      <c r="U3" s="218">
        <v>2030</v>
      </c>
    </row>
    <row r="4" spans="1:21" customFormat="1" ht="14">
      <c r="A4" s="117" t="s">
        <v>24</v>
      </c>
      <c r="B4" s="189" t="s">
        <v>66</v>
      </c>
      <c r="C4" s="167"/>
      <c r="D4" s="120"/>
      <c r="E4" s="123"/>
      <c r="F4" s="123"/>
      <c r="G4" s="123"/>
      <c r="H4" s="120"/>
      <c r="I4" s="123"/>
      <c r="J4" s="123"/>
      <c r="K4" s="124"/>
      <c r="L4" s="123"/>
      <c r="M4" s="123"/>
      <c r="N4" s="123"/>
      <c r="O4" s="123"/>
      <c r="P4" s="120"/>
      <c r="Q4" s="123"/>
      <c r="R4" s="123"/>
      <c r="S4" s="123"/>
      <c r="T4" s="124"/>
      <c r="U4" s="124"/>
    </row>
    <row r="5" spans="1:21" customFormat="1" ht="14">
      <c r="A5" s="129" t="s">
        <v>149</v>
      </c>
      <c r="B5" s="190" t="s">
        <v>200</v>
      </c>
      <c r="C5" s="171"/>
      <c r="D5" s="130"/>
      <c r="E5" s="131"/>
      <c r="F5" s="131"/>
      <c r="G5" s="131"/>
      <c r="H5" s="130"/>
      <c r="I5" s="131"/>
      <c r="J5" s="131"/>
      <c r="K5" s="132"/>
      <c r="L5" s="131"/>
      <c r="M5" s="131"/>
      <c r="N5" s="131"/>
      <c r="O5" s="131"/>
      <c r="P5" s="130"/>
      <c r="Q5" s="131"/>
      <c r="R5" s="131"/>
      <c r="S5" s="131"/>
      <c r="T5" s="132"/>
      <c r="U5" s="132"/>
    </row>
    <row r="6" spans="1:21" customFormat="1" ht="14">
      <c r="A6" s="66"/>
      <c r="B6" s="2" t="s">
        <v>201</v>
      </c>
      <c r="C6" s="153" t="s">
        <v>202</v>
      </c>
      <c r="D6" s="59">
        <v>2955.3</v>
      </c>
      <c r="E6" s="5">
        <v>2383.3000000000002</v>
      </c>
      <c r="F6" s="5">
        <v>2999.4</v>
      </c>
      <c r="G6" s="5">
        <v>3065.1</v>
      </c>
      <c r="H6" s="59">
        <v>2928.8</v>
      </c>
      <c r="I6" s="5">
        <f>'[3]4_'!AC8</f>
        <v>3309.2</v>
      </c>
      <c r="J6" s="5">
        <f>'[3]4_'!AD8</f>
        <v>3538.46</v>
      </c>
      <c r="K6" s="6">
        <f>'[3]4_'!AE8</f>
        <v>3257.1</v>
      </c>
      <c r="L6" s="5">
        <f>'[3]4_'!AF8</f>
        <v>3363</v>
      </c>
      <c r="M6" s="5">
        <f>'[3]4_'!AG8</f>
        <v>3161.3</v>
      </c>
      <c r="N6" s="5">
        <f>'[3]4_'!AH8</f>
        <v>3248.59</v>
      </c>
      <c r="O6" s="5">
        <f>'[3]4_'!AI8</f>
        <v>3278.1</v>
      </c>
      <c r="P6" s="59">
        <f>'[3]4_'!AJ8</f>
        <v>3224.9893619999998</v>
      </c>
      <c r="Q6" s="5">
        <f>'[3]4_'!AK8</f>
        <v>3327.9099999999994</v>
      </c>
      <c r="R6" s="5">
        <f>'[3]4_'!AL8</f>
        <v>3383.7220000000002</v>
      </c>
      <c r="S6" s="5">
        <f>'[3]4_'!AM8</f>
        <v>3430.89</v>
      </c>
      <c r="T6" s="6">
        <f>'[3]4_'!AN8</f>
        <v>3533.91</v>
      </c>
      <c r="U6" s="6">
        <f>'[3]4_'!AO8</f>
        <v>3448.1099999999997</v>
      </c>
    </row>
    <row r="7" spans="1:21" customFormat="1" ht="14">
      <c r="A7" s="66"/>
      <c r="B7" s="191" t="s">
        <v>203</v>
      </c>
      <c r="C7" s="153" t="s">
        <v>202</v>
      </c>
      <c r="D7" s="59">
        <v>1893.4</v>
      </c>
      <c r="E7" s="5">
        <v>1449.1</v>
      </c>
      <c r="F7" s="5">
        <v>1687.7</v>
      </c>
      <c r="G7" s="5">
        <v>1851.4</v>
      </c>
      <c r="H7" s="59">
        <v>1818.7</v>
      </c>
      <c r="I7" s="5">
        <f>'[3]4_'!AC9</f>
        <v>2042.9</v>
      </c>
      <c r="J7" s="5">
        <f>'[3]4_'!AD9</f>
        <v>2171.5</v>
      </c>
      <c r="K7" s="6">
        <f>'[3]4_'!AE9</f>
        <v>1867.3</v>
      </c>
      <c r="L7" s="5">
        <f>'[3]4_'!AF9</f>
        <v>1885.4</v>
      </c>
      <c r="M7" s="5">
        <f>'[3]4_'!AG9</f>
        <v>1736.1</v>
      </c>
      <c r="N7" s="5">
        <f>'[3]4_'!AH9</f>
        <v>1833.9</v>
      </c>
      <c r="O7" s="5">
        <f>'[3]4_'!AI9</f>
        <v>1685.7</v>
      </c>
      <c r="P7" s="59">
        <f>'[3]4_'!AJ9</f>
        <v>1579.024512</v>
      </c>
      <c r="Q7" s="5">
        <f>'[3]4_'!AK9</f>
        <v>1643.2</v>
      </c>
      <c r="R7" s="5">
        <f>'[3]4_'!AL9</f>
        <v>1674.75</v>
      </c>
      <c r="S7" s="5">
        <f>'[3]4_'!AM9</f>
        <v>1696</v>
      </c>
      <c r="T7" s="6">
        <f>'[3]4_'!AN9</f>
        <v>1776.5</v>
      </c>
      <c r="U7" s="6">
        <f>'[3]4_'!AO9</f>
        <v>1684.8</v>
      </c>
    </row>
    <row r="8" spans="1:21" customFormat="1" ht="14">
      <c r="A8" s="66"/>
      <c r="B8" s="191" t="s">
        <v>204</v>
      </c>
      <c r="C8" s="153" t="s">
        <v>202</v>
      </c>
      <c r="D8" s="59">
        <v>4.9000000000000004</v>
      </c>
      <c r="E8" s="5">
        <v>2.8</v>
      </c>
      <c r="F8" s="5">
        <v>3</v>
      </c>
      <c r="G8" s="5">
        <v>5.6</v>
      </c>
      <c r="H8" s="59">
        <v>16.2</v>
      </c>
      <c r="I8" s="5">
        <f>'[3]4_'!AC10</f>
        <v>12.4</v>
      </c>
      <c r="J8" s="5">
        <f>'[3]4_'!AD10</f>
        <v>11.959999999999999</v>
      </c>
      <c r="K8" s="6">
        <f>'[3]4_'!AE10</f>
        <v>9.9</v>
      </c>
      <c r="L8" s="5">
        <f>'[3]4_'!AF10</f>
        <v>10.7</v>
      </c>
      <c r="M8" s="5">
        <f>'[3]4_'!AG10</f>
        <v>11.6</v>
      </c>
      <c r="N8" s="5">
        <f>'[3]4_'!AH10</f>
        <v>14.9</v>
      </c>
      <c r="O8" s="5">
        <f>'[3]4_'!AI10</f>
        <v>19.600000000000001</v>
      </c>
      <c r="P8" s="59">
        <f>'[3]4_'!AJ10</f>
        <v>19.361920000000001</v>
      </c>
      <c r="Q8" s="5">
        <f>'[3]4_'!AK10</f>
        <v>19.900000000000002</v>
      </c>
      <c r="R8" s="5">
        <f>'[3]4_'!AL10</f>
        <v>20.05</v>
      </c>
      <c r="S8" s="5">
        <f>'[3]4_'!AM10</f>
        <v>20.2</v>
      </c>
      <c r="T8" s="6">
        <f>'[3]4_'!AN10</f>
        <v>20.3</v>
      </c>
      <c r="U8" s="6">
        <f>'[3]4_'!AO10</f>
        <v>20.96</v>
      </c>
    </row>
    <row r="9" spans="1:21" customFormat="1" ht="14">
      <c r="A9" s="66"/>
      <c r="B9" s="2" t="s">
        <v>205</v>
      </c>
      <c r="C9" s="153" t="s">
        <v>202</v>
      </c>
      <c r="D9" s="59">
        <v>1236.3</v>
      </c>
      <c r="E9" s="5">
        <v>1187.7</v>
      </c>
      <c r="F9" s="5">
        <v>1275.3</v>
      </c>
      <c r="G9" s="5">
        <v>1270.5999999999999</v>
      </c>
      <c r="H9" s="59">
        <v>1405.6</v>
      </c>
      <c r="I9" s="5">
        <f>'[3]4_'!AC11</f>
        <v>1521.9</v>
      </c>
      <c r="J9" s="5">
        <f>'[3]4_'!AD11</f>
        <v>1714.7</v>
      </c>
      <c r="K9" s="6">
        <f>'[3]4_'!AE11</f>
        <v>1738.9</v>
      </c>
      <c r="L9" s="5">
        <f>'[3]4_'!AF11</f>
        <v>1815.5</v>
      </c>
      <c r="M9" s="5">
        <f>'[3]4_'!AG11</f>
        <v>1823.3</v>
      </c>
      <c r="N9" s="5">
        <f>'[3]4_'!AH11</f>
        <v>1825.6</v>
      </c>
      <c r="O9" s="5">
        <f>'[3]4_'!AI11</f>
        <v>1838.9</v>
      </c>
      <c r="P9" s="59">
        <f>'[3]4_'!AJ11</f>
        <v>1856.278</v>
      </c>
      <c r="Q9" s="5">
        <f>'[3]4_'!AK11</f>
        <v>1898.3400000000001</v>
      </c>
      <c r="R9" s="5">
        <f>'[3]4_'!AL11</f>
        <v>1921.32</v>
      </c>
      <c r="S9" s="5">
        <f>'[3]4_'!AM11</f>
        <v>1934.5</v>
      </c>
      <c r="T9" s="6">
        <f>'[3]4_'!AN11</f>
        <v>1955.2</v>
      </c>
      <c r="U9" s="6">
        <f>'[3]4_'!AO11</f>
        <v>2022.5</v>
      </c>
    </row>
    <row r="10" spans="1:21" customFormat="1" ht="14">
      <c r="A10" s="70"/>
      <c r="B10" s="2" t="s">
        <v>206</v>
      </c>
      <c r="C10" s="153" t="s">
        <v>202</v>
      </c>
      <c r="D10" s="59">
        <v>429.8</v>
      </c>
      <c r="E10" s="5">
        <v>440.9</v>
      </c>
      <c r="F10" s="5">
        <v>484.5</v>
      </c>
      <c r="G10" s="5">
        <v>464.6</v>
      </c>
      <c r="H10" s="59">
        <v>438.1</v>
      </c>
      <c r="I10" s="5">
        <f>'[3]4_'!AC12</f>
        <v>401.9</v>
      </c>
      <c r="J10" s="5">
        <f>'[3]4_'!AD12</f>
        <v>447.6</v>
      </c>
      <c r="K10" s="6">
        <f>'[3]4_'!AE12</f>
        <v>448.1</v>
      </c>
      <c r="L10" s="5">
        <f>'[3]4_'!AF12</f>
        <v>459.9</v>
      </c>
      <c r="M10" s="5">
        <f>'[3]4_'!AG12</f>
        <v>469.3</v>
      </c>
      <c r="N10" s="5">
        <f>'[3]4_'!AH12</f>
        <v>438.2</v>
      </c>
      <c r="O10" s="5">
        <f>'[3]4_'!AI12</f>
        <v>490.6</v>
      </c>
      <c r="P10" s="59">
        <f>'[3]4_'!AJ12</f>
        <v>474.00119999999998</v>
      </c>
      <c r="Q10" s="5">
        <f>'[3]4_'!AK12</f>
        <v>492.5</v>
      </c>
      <c r="R10" s="5">
        <f>'[3]4_'!AL12</f>
        <v>500.94000000000005</v>
      </c>
      <c r="S10" s="5">
        <f>'[3]4_'!AM12</f>
        <v>510.04800000000006</v>
      </c>
      <c r="T10" s="6">
        <f>'[3]4_'!AN12</f>
        <v>520.20000000000005</v>
      </c>
      <c r="U10" s="6">
        <f>'[3]4_'!AO12</f>
        <v>539.72</v>
      </c>
    </row>
    <row r="11" spans="1:21" customFormat="1" ht="14">
      <c r="A11" s="70"/>
      <c r="B11" s="2" t="s">
        <v>207</v>
      </c>
      <c r="C11" s="153" t="s">
        <v>202</v>
      </c>
      <c r="D11" s="59">
        <v>992.8</v>
      </c>
      <c r="E11" s="5">
        <v>819.3</v>
      </c>
      <c r="F11" s="5">
        <v>839.8</v>
      </c>
      <c r="G11" s="5">
        <v>902.4</v>
      </c>
      <c r="H11" s="59">
        <v>913.9</v>
      </c>
      <c r="I11" s="5">
        <f>'[3]4_'!AC13</f>
        <v>898.9</v>
      </c>
      <c r="J11" s="5">
        <f>'[3]4_'!AD13</f>
        <v>1004.2</v>
      </c>
      <c r="K11" s="6">
        <f>'[3]4_'!AE13</f>
        <v>1037.5999999999999</v>
      </c>
      <c r="L11" s="5">
        <f>'[3]4_'!AF13</f>
        <v>1062</v>
      </c>
      <c r="M11" s="5">
        <f>'[3]4_'!AG13</f>
        <v>1074.3</v>
      </c>
      <c r="N11" s="5">
        <f>'[3]4_'!AH13</f>
        <v>1010.5</v>
      </c>
      <c r="O11" s="5">
        <f>'[3]4_'!AI13</f>
        <v>927.4</v>
      </c>
      <c r="P11" s="59">
        <f>'[3]4_'!AJ13</f>
        <v>946.76232000000005</v>
      </c>
      <c r="Q11" s="5">
        <f>'[3]4_'!AK13</f>
        <v>1003.2</v>
      </c>
      <c r="R11" s="5">
        <f>'[3]4_'!AL13</f>
        <v>1043</v>
      </c>
      <c r="S11" s="5">
        <f>'[3]4_'!AM13</f>
        <v>1095.5</v>
      </c>
      <c r="T11" s="6">
        <f>'[3]4_'!AN13</f>
        <v>1153</v>
      </c>
      <c r="U11" s="6">
        <f>'[3]4_'!AO13</f>
        <v>1142.2</v>
      </c>
    </row>
    <row r="12" spans="1:21" customFormat="1" ht="14">
      <c r="A12" s="70"/>
      <c r="B12" s="2" t="s">
        <v>208</v>
      </c>
      <c r="C12" s="153" t="s">
        <v>202</v>
      </c>
      <c r="D12" s="59">
        <v>45.2</v>
      </c>
      <c r="E12" s="5">
        <v>41</v>
      </c>
      <c r="F12" s="5">
        <v>35.200000000000003</v>
      </c>
      <c r="G12" s="5">
        <v>89.4</v>
      </c>
      <c r="H12" s="59">
        <v>207.5</v>
      </c>
      <c r="I12" s="5">
        <f>'[3]4_'!AC14</f>
        <v>233.6</v>
      </c>
      <c r="J12" s="5">
        <f>'[3]4_'!AD14</f>
        <v>295.29499999999996</v>
      </c>
      <c r="K12" s="6">
        <f>'[3]4_'!AE14</f>
        <v>336.8</v>
      </c>
      <c r="L12" s="5">
        <f>'[3]4_'!AF14</f>
        <v>287</v>
      </c>
      <c r="M12" s="5">
        <f>'[3]4_'!AG14</f>
        <v>322.5</v>
      </c>
      <c r="N12" s="5">
        <f>'[3]4_'!AH14</f>
        <v>276.3</v>
      </c>
      <c r="O12" s="5">
        <f>'[3]4_'!AI14</f>
        <v>310.8</v>
      </c>
      <c r="P12" s="59">
        <f>'[3]4_'!AJ14</f>
        <v>305.78184300000004</v>
      </c>
      <c r="Q12" s="5">
        <f>'[3]4_'!AK14</f>
        <v>309.24799999999999</v>
      </c>
      <c r="R12" s="5">
        <f>'[3]4_'!AL14</f>
        <v>312.32000000000005</v>
      </c>
      <c r="S12" s="5">
        <f>'[3]4_'!AM14</f>
        <v>314.67500000000001</v>
      </c>
      <c r="T12" s="6">
        <f>'[3]4_'!AN14</f>
        <v>316.72500000000002</v>
      </c>
      <c r="U12" s="6">
        <f>'[3]4_'!AO14</f>
        <v>316.72500000000002</v>
      </c>
    </row>
    <row r="13" spans="1:21" customFormat="1" ht="14">
      <c r="A13" s="70"/>
      <c r="B13" s="2" t="s">
        <v>209</v>
      </c>
      <c r="C13" s="153" t="s">
        <v>202</v>
      </c>
      <c r="D13" s="59">
        <v>3.5</v>
      </c>
      <c r="E13" s="5">
        <v>2.9</v>
      </c>
      <c r="F13" s="5">
        <v>3.5</v>
      </c>
      <c r="G13" s="5">
        <v>3.6</v>
      </c>
      <c r="H13" s="59">
        <v>5.3</v>
      </c>
      <c r="I13" s="5">
        <f>'[3]4_'!AC15</f>
        <v>6.3</v>
      </c>
      <c r="J13" s="5">
        <f>'[3]4_'!AD15</f>
        <v>6</v>
      </c>
      <c r="K13" s="6">
        <f>'[3]4_'!AE15</f>
        <v>6.9</v>
      </c>
      <c r="L13" s="5">
        <f>'[3]4_'!AF15</f>
        <v>6.4</v>
      </c>
      <c r="M13" s="5">
        <f>'[3]4_'!AG15</f>
        <v>5.0999999999999996</v>
      </c>
      <c r="N13" s="5">
        <f>'[3]4_'!AH15</f>
        <v>6.3</v>
      </c>
      <c r="O13" s="5">
        <f>'[3]4_'!AI15</f>
        <v>6.5</v>
      </c>
      <c r="P13" s="59">
        <f>'[3]4_'!AJ15</f>
        <v>7.5215000000000005</v>
      </c>
      <c r="Q13" s="5">
        <f>'[3]4_'!AK15</f>
        <v>6.4855999999999998</v>
      </c>
      <c r="R13" s="5">
        <f>'[3]4_'!AL15</f>
        <v>6.5339999999999998</v>
      </c>
      <c r="S13" s="5">
        <f>'[3]4_'!AM15</f>
        <v>6.6096000000000013</v>
      </c>
      <c r="T13" s="6">
        <f>'[3]4_'!AN15</f>
        <v>6.7375000000000007</v>
      </c>
      <c r="U13" s="6">
        <f>'[3]4_'!AO15</f>
        <v>6.7375000000000007</v>
      </c>
    </row>
    <row r="14" spans="1:21" customFormat="1" ht="14">
      <c r="A14" s="70"/>
      <c r="B14" s="2" t="s">
        <v>210</v>
      </c>
      <c r="C14" s="153" t="s">
        <v>202</v>
      </c>
      <c r="D14" s="59">
        <v>187.9</v>
      </c>
      <c r="E14" s="5">
        <v>173.3</v>
      </c>
      <c r="F14" s="5">
        <v>184.3</v>
      </c>
      <c r="G14" s="5">
        <v>345.8</v>
      </c>
      <c r="H14" s="59">
        <v>435</v>
      </c>
      <c r="I14" s="5">
        <f>'[3]4_'!AC16</f>
        <v>299.39999999999998</v>
      </c>
      <c r="J14" s="5">
        <f>'[3]4_'!AD16</f>
        <v>237</v>
      </c>
      <c r="K14" s="6">
        <f>'[3]4_'!AE16</f>
        <v>253.3</v>
      </c>
      <c r="L14" s="5">
        <f>'[3]4_'!AF16</f>
        <v>193.2</v>
      </c>
      <c r="M14" s="5">
        <f>'[3]4_'!AG16</f>
        <v>222.7</v>
      </c>
      <c r="N14" s="5">
        <f>'[3]4_'!AH16</f>
        <v>219.8</v>
      </c>
      <c r="O14" s="5">
        <f>'[3]4_'!AI16</f>
        <v>290.10000000000002</v>
      </c>
      <c r="P14" s="59">
        <f>'[3]4_'!AJ16</f>
        <v>318.62747999999999</v>
      </c>
      <c r="Q14" s="5">
        <f>'[3]4_'!AK16</f>
        <v>316.8</v>
      </c>
      <c r="R14" s="5">
        <f>'[3]4_'!AL16</f>
        <v>318.24</v>
      </c>
      <c r="S14" s="5">
        <f>'[3]4_'!AM16</f>
        <v>324.84999999999997</v>
      </c>
      <c r="T14" s="6">
        <f>'[3]4_'!AN16</f>
        <v>324.84999999999997</v>
      </c>
      <c r="U14" s="6">
        <f>'[3]4_'!AO16</f>
        <v>318.24</v>
      </c>
    </row>
    <row r="15" spans="1:21" customFormat="1" ht="14">
      <c r="A15" s="70"/>
      <c r="B15" s="2" t="s">
        <v>211</v>
      </c>
      <c r="C15" s="153" t="s">
        <v>202</v>
      </c>
      <c r="D15" s="59">
        <v>17.7</v>
      </c>
      <c r="E15" s="5">
        <v>19.8</v>
      </c>
      <c r="F15" s="5">
        <v>18.399999999999999</v>
      </c>
      <c r="G15" s="5">
        <v>17.100000000000001</v>
      </c>
      <c r="H15" s="59">
        <v>30.6</v>
      </c>
      <c r="I15" s="5">
        <f>'[3]4_'!AC17</f>
        <v>24.3</v>
      </c>
      <c r="J15" s="5">
        <f>'[3]4_'!AD17</f>
        <v>34.799999999999997</v>
      </c>
      <c r="K15" s="6">
        <f>'[3]4_'!AE17</f>
        <v>24.8</v>
      </c>
      <c r="L15" s="5">
        <f>'[3]4_'!AF17</f>
        <v>25.8</v>
      </c>
      <c r="M15" s="5">
        <f>'[3]4_'!AG17</f>
        <v>29.4</v>
      </c>
      <c r="N15" s="5">
        <f>'[3]4_'!AH17</f>
        <v>29.3</v>
      </c>
      <c r="O15" s="5">
        <f>'[3]4_'!AI17</f>
        <v>31.2</v>
      </c>
      <c r="P15" s="59">
        <f>'[3]4_'!AJ17</f>
        <v>31.30386</v>
      </c>
      <c r="Q15" s="5">
        <f>'[3]4_'!AK17</f>
        <v>31.859999999999996</v>
      </c>
      <c r="R15" s="5">
        <f>'[3]4_'!AL17</f>
        <v>32.549999999999997</v>
      </c>
      <c r="S15" s="5">
        <f>'[3]4_'!AM17</f>
        <v>33.239999999999995</v>
      </c>
      <c r="T15" s="6">
        <f>'[3]4_'!AN17</f>
        <v>33.699999999999996</v>
      </c>
      <c r="U15" s="6">
        <f>'[3]4_'!AO17</f>
        <v>33.699999999999996</v>
      </c>
    </row>
    <row r="16" spans="1:21" customFormat="1" ht="14">
      <c r="A16" s="70"/>
      <c r="B16" s="2" t="s">
        <v>212</v>
      </c>
      <c r="C16" s="153" t="s">
        <v>202</v>
      </c>
      <c r="D16" s="59">
        <v>853.8</v>
      </c>
      <c r="E16" s="5">
        <v>850.8</v>
      </c>
      <c r="F16" s="5">
        <v>888.4</v>
      </c>
      <c r="G16" s="5">
        <v>882.8</v>
      </c>
      <c r="H16" s="59">
        <v>954.8</v>
      </c>
      <c r="I16" s="5">
        <f>'[3]4_'!AC18</f>
        <v>1010.8</v>
      </c>
      <c r="J16" s="5">
        <f>'[3]4_'!AD18</f>
        <v>1099.7</v>
      </c>
      <c r="K16" s="6">
        <f>'[3]4_'!AE18</f>
        <v>1133.0999999999999</v>
      </c>
      <c r="L16" s="5">
        <f>'[3]4_'!AF18</f>
        <v>1204.9000000000001</v>
      </c>
      <c r="M16" s="5">
        <f>'[3]4_'!AG18</f>
        <v>1253.0999999999999</v>
      </c>
      <c r="N16" s="5">
        <f>'[3]4_'!AH18</f>
        <v>1261.3</v>
      </c>
      <c r="O16" s="5">
        <f>'[3]4_'!AI18</f>
        <v>1317.9</v>
      </c>
      <c r="P16" s="59">
        <f>'[3]4_'!AJ18</f>
        <v>1392.2764999999999</v>
      </c>
      <c r="Q16" s="5">
        <f>'[3]4_'!AK18</f>
        <v>1462.6765</v>
      </c>
      <c r="R16" s="5">
        <f>'[3]4_'!AL18</f>
        <v>1533.0764999999999</v>
      </c>
      <c r="S16" s="5">
        <f>'[3]4_'!AM18</f>
        <v>1590.7</v>
      </c>
      <c r="T16" s="6">
        <f>'[3]4_'!AN18</f>
        <v>1639.4999999999998</v>
      </c>
      <c r="U16" s="6">
        <f>'[3]4_'!AO18</f>
        <v>1516.08</v>
      </c>
    </row>
    <row r="17" spans="1:21" customFormat="1" ht="14">
      <c r="A17" s="70"/>
      <c r="B17" s="2" t="s">
        <v>213</v>
      </c>
      <c r="C17" s="153" t="s">
        <v>202</v>
      </c>
      <c r="D17" s="59">
        <v>148.5</v>
      </c>
      <c r="E17" s="5">
        <v>147.69999999999999</v>
      </c>
      <c r="F17" s="5">
        <v>157.1</v>
      </c>
      <c r="G17" s="5">
        <v>136.5</v>
      </c>
      <c r="H17" s="59">
        <v>152.80000000000001</v>
      </c>
      <c r="I17" s="5">
        <f>'[3]4_'!AC19</f>
        <v>167.6</v>
      </c>
      <c r="J17" s="5">
        <f>'[3]4_'!AD19</f>
        <v>201.84229999999999</v>
      </c>
      <c r="K17" s="6">
        <f>'[3]4_'!AE19</f>
        <v>208</v>
      </c>
      <c r="L17" s="5">
        <f>'[3]4_'!AF19</f>
        <v>209.8</v>
      </c>
      <c r="M17" s="5">
        <f>'[3]4_'!AG19</f>
        <v>212.6</v>
      </c>
      <c r="N17" s="5">
        <f>'[3]4_'!AH19</f>
        <v>224.5</v>
      </c>
      <c r="O17" s="5">
        <f>'[3]4_'!AI19</f>
        <v>205.1</v>
      </c>
      <c r="P17" s="59">
        <f>'[3]4_'!AJ19</f>
        <v>205.6</v>
      </c>
      <c r="Q17" s="5">
        <f>'[3]4_'!AK19</f>
        <v>207.08</v>
      </c>
      <c r="R17" s="5">
        <f>'[3]4_'!AL19</f>
        <v>207.82</v>
      </c>
      <c r="S17" s="5">
        <f>'[3]4_'!AM19</f>
        <v>210.04000000000002</v>
      </c>
      <c r="T17" s="6">
        <f>'[3]4_'!AN19</f>
        <v>216.98</v>
      </c>
      <c r="U17" s="6">
        <f>'[3]4_'!AO19</f>
        <v>216.98</v>
      </c>
    </row>
    <row r="18" spans="1:21" customFormat="1" ht="14">
      <c r="A18" s="71"/>
      <c r="B18" s="7" t="s">
        <v>214</v>
      </c>
      <c r="C18" s="154" t="s">
        <v>202</v>
      </c>
      <c r="D18" s="77">
        <v>0.56999999999999995</v>
      </c>
      <c r="E18" s="87">
        <v>0.47</v>
      </c>
      <c r="F18" s="87">
        <v>0.57999999999999996</v>
      </c>
      <c r="G18" s="10">
        <v>1.02</v>
      </c>
      <c r="H18" s="60">
        <v>0.78</v>
      </c>
      <c r="I18" s="5">
        <f>'[3]4_'!AC20</f>
        <v>0.87</v>
      </c>
      <c r="J18" s="10">
        <f>'[3]4_'!AD20</f>
        <v>0.9294</v>
      </c>
      <c r="K18" s="11">
        <f>'[3]4_'!AE20</f>
        <v>0.93149999999999999</v>
      </c>
      <c r="L18" s="10">
        <f>'[3]4_'!AF20</f>
        <v>1.1777</v>
      </c>
      <c r="M18" s="10">
        <f>'[3]4_'!AG20</f>
        <v>1.0008999999999999</v>
      </c>
      <c r="N18" s="10">
        <f>'[3]4_'!AH20</f>
        <v>1.1237999999999999</v>
      </c>
      <c r="O18" s="10">
        <f>'[3]4_'!AI20</f>
        <v>1.0694999999999999</v>
      </c>
      <c r="P18" s="60">
        <f>'[3]4_'!AJ20</f>
        <v>1.0874999999999999</v>
      </c>
      <c r="Q18" s="10">
        <f>'[3]4_'!AK20</f>
        <v>1.1264000000000001</v>
      </c>
      <c r="R18" s="10">
        <f>'[3]4_'!AL20</f>
        <v>1.1700000000000002</v>
      </c>
      <c r="S18" s="10">
        <f>'[3]4_'!AM20</f>
        <v>1.1835</v>
      </c>
      <c r="T18" s="11">
        <f>'[3]4_'!AN20</f>
        <v>1.1970000000000001</v>
      </c>
      <c r="U18" s="11">
        <f>'[3]4_'!AO20</f>
        <v>1.26</v>
      </c>
    </row>
    <row r="19" spans="1:21" customFormat="1" ht="14">
      <c r="A19" s="129" t="s">
        <v>150</v>
      </c>
      <c r="B19" s="190" t="s">
        <v>215</v>
      </c>
      <c r="C19" s="171"/>
      <c r="D19" s="130"/>
      <c r="E19" s="131"/>
      <c r="F19" s="131"/>
      <c r="G19" s="131"/>
      <c r="H19" s="130"/>
      <c r="I19" s="185"/>
      <c r="J19" s="131"/>
      <c r="K19" s="132"/>
      <c r="L19" s="131"/>
      <c r="M19" s="131"/>
      <c r="N19" s="131"/>
      <c r="O19" s="131"/>
      <c r="P19" s="130"/>
      <c r="Q19" s="131"/>
      <c r="R19" s="131"/>
      <c r="S19" s="131"/>
      <c r="T19" s="132"/>
      <c r="U19" s="132"/>
    </row>
    <row r="20" spans="1:21" customFormat="1" ht="14">
      <c r="A20" s="66"/>
      <c r="B20" s="2" t="s">
        <v>384</v>
      </c>
      <c r="C20" s="153" t="s">
        <v>202</v>
      </c>
      <c r="D20" s="59">
        <v>286.89999999999998</v>
      </c>
      <c r="E20" s="5">
        <v>291.2</v>
      </c>
      <c r="F20" s="5">
        <v>298.60000000000002</v>
      </c>
      <c r="G20" s="5">
        <v>302.2</v>
      </c>
      <c r="H20" s="59">
        <v>316.8</v>
      </c>
      <c r="I20" s="5">
        <f>'[3]4_'!AC22</f>
        <v>556.6</v>
      </c>
      <c r="J20" s="5">
        <f>'[3]4_'!AD22</f>
        <v>573.29999999999995</v>
      </c>
      <c r="K20" s="6">
        <f>'[3]4_'!AE22</f>
        <v>591.1</v>
      </c>
      <c r="L20" s="5">
        <f>'[3]4_'!AF22</f>
        <v>610</v>
      </c>
      <c r="M20" s="5">
        <f>'[3]4_'!AG22</f>
        <v>628.02909999999997</v>
      </c>
      <c r="N20" s="5">
        <f>'[3]4_'!AH22</f>
        <v>647.74919999999997</v>
      </c>
      <c r="O20" s="5">
        <f>'[3]4_'!AI22</f>
        <v>659</v>
      </c>
      <c r="P20" s="59">
        <f>'[3]4_'!AJ22</f>
        <v>672.51975083633761</v>
      </c>
      <c r="Q20" s="5">
        <f>'[3]4_'!AK22</f>
        <v>684.47475907050966</v>
      </c>
      <c r="R20" s="5">
        <f>'[3]4_'!AL22</f>
        <v>701.466538787373</v>
      </c>
      <c r="S20" s="5">
        <f>'[3]4_'!AM22</f>
        <v>716.26251257488411</v>
      </c>
      <c r="T20" s="6">
        <f>'[3]4_'!AN22</f>
        <v>732.83625645719894</v>
      </c>
      <c r="U20" s="6">
        <f>'[3]4_'!AO22</f>
        <v>741.82087139397686</v>
      </c>
    </row>
    <row r="21" spans="1:21" customFormat="1" ht="14">
      <c r="A21" s="66"/>
      <c r="B21" s="191" t="s">
        <v>216</v>
      </c>
      <c r="C21" s="153" t="s">
        <v>202</v>
      </c>
      <c r="D21" s="59">
        <v>120.8</v>
      </c>
      <c r="E21" s="5">
        <v>122.4</v>
      </c>
      <c r="F21" s="5">
        <v>129.80000000000001</v>
      </c>
      <c r="G21" s="5">
        <v>131</v>
      </c>
      <c r="H21" s="59">
        <v>132.9</v>
      </c>
      <c r="I21" s="5">
        <f>'[3]4_'!AC23</f>
        <v>239.9</v>
      </c>
      <c r="J21" s="5">
        <f>'[3]4_'!AD23</f>
        <v>243.7</v>
      </c>
      <c r="K21" s="6">
        <f>'[3]4_'!AE23</f>
        <v>252.87870000000001</v>
      </c>
      <c r="L21" s="5">
        <f>'[3]4_'!AF23</f>
        <v>256.60000000000002</v>
      </c>
      <c r="M21" s="5">
        <f>'[3]4_'!AG23</f>
        <v>263.09659999999997</v>
      </c>
      <c r="N21" s="5">
        <f>'[3]4_'!AH23</f>
        <v>271.63579999999996</v>
      </c>
      <c r="O21" s="5">
        <f>'[3]4_'!AI23</f>
        <v>272</v>
      </c>
      <c r="P21" s="59">
        <f>'[3]4_'!AJ23</f>
        <v>275.26400000000001</v>
      </c>
      <c r="Q21" s="5">
        <f>'[3]4_'!AK23</f>
        <v>279.39296000000002</v>
      </c>
      <c r="R21" s="5">
        <f>'[3]4_'!AL23</f>
        <v>284.42203327999999</v>
      </c>
      <c r="S21" s="5">
        <f>'[3]4_'!AM23</f>
        <v>290.67931801215997</v>
      </c>
      <c r="T21" s="6">
        <f>'[3]4_'!AN23</f>
        <v>297.94630096246397</v>
      </c>
      <c r="U21" s="6">
        <f>'[3]4_'!AO23</f>
        <v>297.72438409591763</v>
      </c>
    </row>
    <row r="22" spans="1:21" customFormat="1" ht="14">
      <c r="A22" s="66"/>
      <c r="B22" s="191" t="s">
        <v>217</v>
      </c>
      <c r="C22" s="153" t="s">
        <v>202</v>
      </c>
      <c r="D22" s="59">
        <v>70.900000000000006</v>
      </c>
      <c r="E22" s="5">
        <v>68.7</v>
      </c>
      <c r="F22" s="5">
        <v>70.900000000000006</v>
      </c>
      <c r="G22" s="5">
        <v>75.2</v>
      </c>
      <c r="H22" s="59">
        <v>79.099999999999994</v>
      </c>
      <c r="I22" s="5">
        <f>'[3]4_'!AC24</f>
        <v>165.7</v>
      </c>
      <c r="J22" s="5">
        <f>'[3]4_'!AD24</f>
        <v>174.7</v>
      </c>
      <c r="K22" s="6">
        <f>'[3]4_'!AE24</f>
        <v>178.41679999999999</v>
      </c>
      <c r="L22" s="5">
        <f>'[3]4_'!AF24</f>
        <v>180</v>
      </c>
      <c r="M22" s="5">
        <f>'[3]4_'!AG24</f>
        <v>183.673</v>
      </c>
      <c r="N22" s="5">
        <f>'[3]4_'!AH24</f>
        <v>184.01009999999999</v>
      </c>
      <c r="O22" s="5">
        <f>'[3]4_'!AI24</f>
        <v>185.9</v>
      </c>
      <c r="P22" s="59">
        <f>'[3]4_'!AJ24</f>
        <v>186.67279637121487</v>
      </c>
      <c r="Q22" s="5">
        <f>'[3]4_'!AK24</f>
        <v>189.57337256344243</v>
      </c>
      <c r="R22" s="5">
        <f>'[3]4_'!AL24</f>
        <v>191.85239671447832</v>
      </c>
      <c r="S22" s="5">
        <f>'[3]4_'!AM24</f>
        <v>193.92423685178372</v>
      </c>
      <c r="T22" s="6">
        <f>'[3]4_'!AN24</f>
        <v>196.20326100281966</v>
      </c>
      <c r="U22" s="6">
        <f>'[3]4_'!AO24</f>
        <v>195.91300457354092</v>
      </c>
    </row>
    <row r="23" spans="1:21" customFormat="1" ht="14">
      <c r="A23" s="66"/>
      <c r="B23" s="191" t="s">
        <v>218</v>
      </c>
      <c r="C23" s="153" t="s">
        <v>202</v>
      </c>
      <c r="D23" s="59">
        <v>94.5</v>
      </c>
      <c r="E23" s="5">
        <v>99.4</v>
      </c>
      <c r="F23" s="5">
        <v>97.2</v>
      </c>
      <c r="G23" s="5">
        <v>95.5</v>
      </c>
      <c r="H23" s="59">
        <v>104.3</v>
      </c>
      <c r="I23" s="5">
        <f>'[3]4_'!AC25</f>
        <v>150.30000000000001</v>
      </c>
      <c r="J23" s="5">
        <f>'[3]4_'!AD25</f>
        <v>154.19999999999999</v>
      </c>
      <c r="K23" s="6">
        <f>'[3]4_'!AE25</f>
        <v>159.13810000000001</v>
      </c>
      <c r="L23" s="5">
        <f>'[3]4_'!AF25</f>
        <v>172.7</v>
      </c>
      <c r="M23" s="5">
        <f>'[3]4_'!AG25</f>
        <v>180.54689999999999</v>
      </c>
      <c r="N23" s="5">
        <f>'[3]4_'!AH25</f>
        <v>191.4049</v>
      </c>
      <c r="O23" s="5">
        <f>'[3]4_'!AI25</f>
        <v>200.4</v>
      </c>
      <c r="P23" s="59">
        <f>'[3]4_'!AJ25</f>
        <v>209.87076819962161</v>
      </c>
      <c r="Q23" s="5">
        <f>'[3]4_'!AK25</f>
        <v>214.76775279094613</v>
      </c>
      <c r="R23" s="5">
        <f>'[3]4_'!AL25</f>
        <v>224.42180812812873</v>
      </c>
      <c r="S23" s="5">
        <f>'[3]4_'!AM25</f>
        <v>230.85784501958378</v>
      </c>
      <c r="T23" s="6">
        <f>'[3]4_'!AN25</f>
        <v>237.85353729290449</v>
      </c>
      <c r="U23" s="6">
        <f>'[3]4_'!AO25</f>
        <v>247.35032552550737</v>
      </c>
    </row>
    <row r="24" spans="1:21" customFormat="1" ht="14">
      <c r="A24" s="70"/>
      <c r="B24" s="2" t="s">
        <v>219</v>
      </c>
      <c r="C24" s="153" t="s">
        <v>220</v>
      </c>
      <c r="D24" s="59">
        <v>1401.5</v>
      </c>
      <c r="E24" s="5">
        <v>1562.7</v>
      </c>
      <c r="F24" s="5">
        <v>1552.9</v>
      </c>
      <c r="G24" s="5">
        <v>1609.8</v>
      </c>
      <c r="H24" s="59">
        <v>1714</v>
      </c>
      <c r="I24" s="5">
        <f>'[3]4_'!AC26</f>
        <v>1676.2</v>
      </c>
      <c r="J24" s="5">
        <f>'[3]4_'!AD26</f>
        <v>1827.1</v>
      </c>
      <c r="K24" s="6">
        <f>'[3]4_'!AE26</f>
        <v>1906.2</v>
      </c>
      <c r="L24" s="5">
        <f>'[3]4_'!AF26</f>
        <v>1838.8</v>
      </c>
      <c r="M24" s="5">
        <f>'[3]4_'!AG26</f>
        <v>2018.1460000000002</v>
      </c>
      <c r="N24" s="5">
        <f>'[3]4_'!AH26</f>
        <v>2188.1999999999998</v>
      </c>
      <c r="O24" s="5">
        <f>'[3]4_'!AI26</f>
        <v>2300.8000000000002</v>
      </c>
      <c r="P24" s="59">
        <f>'[3]4_'!AJ26</f>
        <v>2400</v>
      </c>
      <c r="Q24" s="5">
        <f>'[3]4_'!AK26</f>
        <v>2450</v>
      </c>
      <c r="R24" s="5">
        <f>'[3]4_'!AL26</f>
        <v>2480</v>
      </c>
      <c r="S24" s="5">
        <f>'[3]4_'!AM26</f>
        <v>2560</v>
      </c>
      <c r="T24" s="6">
        <f>'[3]4_'!AN26</f>
        <v>2630</v>
      </c>
      <c r="U24" s="6">
        <f>'[3]4_'!AO26</f>
        <v>2728.3340939903997</v>
      </c>
    </row>
    <row r="25" spans="1:21" customFormat="1" ht="14">
      <c r="A25" s="70"/>
      <c r="B25" s="2" t="s">
        <v>221</v>
      </c>
      <c r="C25" s="153" t="s">
        <v>202</v>
      </c>
      <c r="D25" s="59">
        <v>1796.7</v>
      </c>
      <c r="E25" s="5">
        <v>1855.8</v>
      </c>
      <c r="F25" s="5">
        <v>1924.5</v>
      </c>
      <c r="G25" s="5">
        <v>2009.9</v>
      </c>
      <c r="H25" s="59">
        <v>2024.1</v>
      </c>
      <c r="I25" s="5">
        <f>'[3]4_'!AC27</f>
        <v>2080.4</v>
      </c>
      <c r="J25" s="5">
        <f>'[3]4_'!AD27</f>
        <v>2150.8000000000002</v>
      </c>
      <c r="K25" s="6">
        <f>'[3]4_'!AE27</f>
        <v>2192.5</v>
      </c>
      <c r="L25" s="5">
        <f>'[3]4_'!AF27</f>
        <v>2223.4</v>
      </c>
      <c r="M25" s="5">
        <f>'[3]4_'!AG27</f>
        <v>2264.6779999999999</v>
      </c>
      <c r="N25" s="5">
        <f>'[3]4_'!AH27</f>
        <v>2284</v>
      </c>
      <c r="O25" s="5">
        <f>'[3]4_'!AI27</f>
        <v>2298.5</v>
      </c>
      <c r="P25" s="59">
        <f>'[3]4_'!AJ27</f>
        <v>2321.4</v>
      </c>
      <c r="Q25" s="5">
        <f>'[3]4_'!AK27</f>
        <v>2380.1</v>
      </c>
      <c r="R25" s="5">
        <f>'[3]4_'!AL27</f>
        <v>2420.6</v>
      </c>
      <c r="S25" s="5">
        <f>'[3]4_'!AM27</f>
        <v>2469</v>
      </c>
      <c r="T25" s="6">
        <f>'[3]4_'!AN27</f>
        <v>2469</v>
      </c>
      <c r="U25" s="6">
        <f>'[3]4_'!AO27</f>
        <v>2500.5104997874155</v>
      </c>
    </row>
    <row r="26" spans="1:21" customFormat="1" ht="14">
      <c r="A26" s="70"/>
      <c r="B26" s="2" t="s">
        <v>222</v>
      </c>
      <c r="C26" s="153" t="s">
        <v>202</v>
      </c>
      <c r="D26" s="59">
        <v>16.5</v>
      </c>
      <c r="E26" s="5">
        <v>16.8</v>
      </c>
      <c r="F26" s="5">
        <v>17</v>
      </c>
      <c r="G26" s="5">
        <v>16.7</v>
      </c>
      <c r="H26" s="59">
        <v>16</v>
      </c>
      <c r="I26" s="5">
        <f>'[3]4_'!AC28</f>
        <v>15.8</v>
      </c>
      <c r="J26" s="5">
        <f>'[3]4_'!AD28</f>
        <v>16.098600000000001</v>
      </c>
      <c r="K26" s="6">
        <f>'[3]4_'!AE28</f>
        <v>16.100000000000001</v>
      </c>
      <c r="L26" s="5">
        <f>'[3]4_'!AF28</f>
        <v>16.100000000000001</v>
      </c>
      <c r="M26" s="5">
        <f>'[3]4_'!AG28</f>
        <v>15.772</v>
      </c>
      <c r="N26" s="5">
        <f>'[3]4_'!AH28</f>
        <v>15.1</v>
      </c>
      <c r="O26" s="5">
        <f>'[3]4_'!AI28</f>
        <v>14.8</v>
      </c>
      <c r="P26" s="59">
        <f>'[3]4_'!AJ28</f>
        <v>15.038292936147503</v>
      </c>
      <c r="Q26" s="5">
        <f>'[3]4_'!AK28</f>
        <v>15.277132568309812</v>
      </c>
      <c r="R26" s="5">
        <f>'[3]4_'!AL28</f>
        <v>15.596051001447101</v>
      </c>
      <c r="S26" s="5">
        <f>'[3]4_'!AM28</f>
        <v>15.898322666180183</v>
      </c>
      <c r="T26" s="6">
        <f>'[3]4_'!AN28</f>
        <v>16.183034748310916</v>
      </c>
      <c r="U26" s="6">
        <f>'[3]4_'!AO28</f>
        <v>15.721492042208194</v>
      </c>
    </row>
    <row r="27" spans="1:21" customFormat="1" ht="14">
      <c r="A27" s="70"/>
      <c r="B27" s="2" t="s">
        <v>223</v>
      </c>
      <c r="C27" s="153" t="s">
        <v>224</v>
      </c>
      <c r="D27" s="59">
        <v>1.4E-3</v>
      </c>
      <c r="E27" s="5">
        <v>9.7399999999999993E-4</v>
      </c>
      <c r="F27" s="5">
        <v>2.3599999999999999E-4</v>
      </c>
      <c r="G27" s="5">
        <v>70.7</v>
      </c>
      <c r="H27" s="59">
        <v>245.2</v>
      </c>
      <c r="I27" s="5">
        <f>'[3]4_'!AC29</f>
        <v>513.9</v>
      </c>
      <c r="J27" s="5">
        <f>'[3]4_'!AD29</f>
        <v>643.70000000000005</v>
      </c>
      <c r="K27" s="6">
        <f>'[3]4_'!AE29</f>
        <v>446.6</v>
      </c>
      <c r="L27" s="5">
        <f>'[3]4_'!AF29</f>
        <v>497.4</v>
      </c>
      <c r="M27" s="5">
        <f>'[3]4_'!AG29</f>
        <v>341.4</v>
      </c>
      <c r="N27" s="5">
        <f>'[3]4_'!AH29</f>
        <v>357</v>
      </c>
      <c r="O27" s="5">
        <f>'[3]4_'!AI29</f>
        <v>239.4</v>
      </c>
      <c r="P27" s="59">
        <f>'[3]4_'!AJ29</f>
        <v>250</v>
      </c>
      <c r="Q27" s="5">
        <f>'[3]4_'!AK29</f>
        <v>255</v>
      </c>
      <c r="R27" s="5">
        <f>'[3]4_'!AL29</f>
        <v>262</v>
      </c>
      <c r="S27" s="5">
        <f>'[3]4_'!AM29</f>
        <v>270</v>
      </c>
      <c r="T27" s="6">
        <f>'[3]4_'!AN29</f>
        <v>280</v>
      </c>
      <c r="U27" s="6">
        <f>'[3]4_'!AO29</f>
        <v>280</v>
      </c>
    </row>
    <row r="28" spans="1:21" customFormat="1" ht="14">
      <c r="A28" s="70"/>
      <c r="B28" s="2" t="s">
        <v>225</v>
      </c>
      <c r="C28" s="153" t="s">
        <v>226</v>
      </c>
      <c r="D28" s="59">
        <v>2703.3</v>
      </c>
      <c r="E28" s="5">
        <v>2697.5</v>
      </c>
      <c r="F28" s="5">
        <v>2708.3</v>
      </c>
      <c r="G28" s="5">
        <v>2698.5</v>
      </c>
      <c r="H28" s="59">
        <v>2673</v>
      </c>
      <c r="I28" s="5">
        <f>'[3]4_'!AC30</f>
        <v>2658.8</v>
      </c>
      <c r="J28" s="5">
        <f>'[3]4_'!AD30</f>
        <v>2646.6</v>
      </c>
      <c r="K28" s="6">
        <f>'[3]4_'!AE30</f>
        <v>2650.7</v>
      </c>
      <c r="L28" s="5">
        <f>'[3]4_'!AF30</f>
        <v>2648.8</v>
      </c>
      <c r="M28" s="5">
        <f>'[3]4_'!AG30</f>
        <v>2618.1</v>
      </c>
      <c r="N28" s="5">
        <f>'[3]4_'!AH30</f>
        <v>2507.6999999999998</v>
      </c>
      <c r="O28" s="5">
        <f>'[3]4_'!AI30</f>
        <v>2465.6219999999998</v>
      </c>
      <c r="P28" s="59">
        <f>'[3]4_'!AJ30</f>
        <v>2482.3000000000002</v>
      </c>
      <c r="Q28" s="5">
        <f>'[3]4_'!AK30</f>
        <v>2494.6999999999998</v>
      </c>
      <c r="R28" s="5">
        <f>'[3]4_'!AL30</f>
        <v>2509.6999999999998</v>
      </c>
      <c r="S28" s="5">
        <f>'[3]4_'!AM30</f>
        <v>2529.8000000000002</v>
      </c>
      <c r="T28" s="6">
        <f>'[3]4_'!AN30</f>
        <v>2535</v>
      </c>
      <c r="U28" s="6">
        <f>'[3]4_'!AO30</f>
        <v>2537.9281608423826</v>
      </c>
    </row>
    <row r="29" spans="1:21" customFormat="1" ht="14">
      <c r="A29" s="70"/>
      <c r="B29" s="2" t="s">
        <v>227</v>
      </c>
      <c r="C29" s="153" t="s">
        <v>226</v>
      </c>
      <c r="D29" s="59">
        <v>1301.5999999999999</v>
      </c>
      <c r="E29" s="5">
        <v>1299.2</v>
      </c>
      <c r="F29" s="5">
        <v>1303</v>
      </c>
      <c r="G29" s="5">
        <v>1299</v>
      </c>
      <c r="H29" s="59">
        <v>1285.8</v>
      </c>
      <c r="I29" s="5">
        <f>'[3]4_'!AC31</f>
        <v>1279.0999999999999</v>
      </c>
      <c r="J29" s="5">
        <f>'[3]4_'!AD31</f>
        <v>1278.2</v>
      </c>
      <c r="K29" s="6">
        <f>'[3]4_'!AE31</f>
        <v>1280.5</v>
      </c>
      <c r="L29" s="5">
        <f>'[3]4_'!AF31</f>
        <v>1288</v>
      </c>
      <c r="M29" s="5">
        <f>'[3]4_'!AG31</f>
        <v>1288.8</v>
      </c>
      <c r="N29" s="5">
        <f>'[3]4_'!AH31</f>
        <v>1235.0999999999999</v>
      </c>
      <c r="O29" s="5">
        <f>'[3]4_'!AI31</f>
        <v>1224.201</v>
      </c>
      <c r="P29" s="59">
        <f>'[3]4_'!AJ31</f>
        <v>1232.60500827549</v>
      </c>
      <c r="Q29" s="5">
        <f>'[3]4_'!AK31</f>
        <v>1238.7623229041069</v>
      </c>
      <c r="R29" s="5">
        <f>'[3]4_'!AL31</f>
        <v>1246.2106873742082</v>
      </c>
      <c r="S29" s="5">
        <f>'[3]4_'!AM31</f>
        <v>1256.1914957641441</v>
      </c>
      <c r="T29" s="6">
        <f>'[3]4_'!AN31</f>
        <v>1258.7735954471125</v>
      </c>
      <c r="U29" s="6">
        <f>'[3]4_'!AO31</f>
        <v>1250.1268719296327</v>
      </c>
    </row>
    <row r="30" spans="1:21" customFormat="1" ht="14">
      <c r="A30" s="70"/>
      <c r="B30" s="2" t="s">
        <v>228</v>
      </c>
      <c r="C30" s="153" t="s">
        <v>226</v>
      </c>
      <c r="D30" s="59">
        <v>8630.5</v>
      </c>
      <c r="E30" s="5">
        <v>8645.4</v>
      </c>
      <c r="F30" s="5">
        <v>8677.1</v>
      </c>
      <c r="G30" s="5">
        <v>8614.7999999999993</v>
      </c>
      <c r="H30" s="59">
        <v>8454.2999999999993</v>
      </c>
      <c r="I30" s="5">
        <f>'[3]4_'!AC32</f>
        <v>8304.1</v>
      </c>
      <c r="J30" s="5">
        <f>'[3]4_'!AD32</f>
        <v>8189.2</v>
      </c>
      <c r="K30" s="6">
        <f>'[3]4_'!AE32</f>
        <v>8089.65</v>
      </c>
      <c r="L30" s="5">
        <f>'[3]4_'!AF32</f>
        <v>7899.7</v>
      </c>
      <c r="M30" s="5">
        <f>'[3]4_'!AG32</f>
        <v>7751.7</v>
      </c>
      <c r="N30" s="5">
        <f>'[3]4_'!AH32</f>
        <v>7060.6</v>
      </c>
      <c r="O30" s="5">
        <f>'[3]4_'!AI32</f>
        <v>6896.52</v>
      </c>
      <c r="P30" s="59">
        <f>'[3]4_'!AJ32</f>
        <v>6904</v>
      </c>
      <c r="Q30" s="5">
        <f>'[3]4_'!AK32</f>
        <v>6910</v>
      </c>
      <c r="R30" s="5">
        <f>'[3]4_'!AL32</f>
        <v>6950</v>
      </c>
      <c r="S30" s="5">
        <f>'[3]4_'!AM32</f>
        <v>6980</v>
      </c>
      <c r="T30" s="6">
        <f>'[3]4_'!AN32</f>
        <v>7000</v>
      </c>
      <c r="U30" s="6">
        <f>'[3]4_'!AO32</f>
        <v>6931.0716341996858</v>
      </c>
    </row>
    <row r="31" spans="1:21" customFormat="1" ht="14">
      <c r="A31" s="70"/>
      <c r="B31" s="2" t="s">
        <v>229</v>
      </c>
      <c r="C31" s="153" t="s">
        <v>226</v>
      </c>
      <c r="D31" s="59">
        <v>6.7</v>
      </c>
      <c r="E31" s="5">
        <v>6.1</v>
      </c>
      <c r="F31" s="5">
        <v>5.2</v>
      </c>
      <c r="G31" s="5">
        <v>4.4000000000000004</v>
      </c>
      <c r="H31" s="59">
        <v>4.9000000000000004</v>
      </c>
      <c r="I31" s="5">
        <f>'[3]4_'!AC33</f>
        <v>5.5</v>
      </c>
      <c r="J31" s="5">
        <f>'[3]4_'!AD33</f>
        <v>5.7</v>
      </c>
      <c r="K31" s="6">
        <f>'[3]4_'!AE33</f>
        <v>5.9</v>
      </c>
      <c r="L31" s="5">
        <f>'[3]4_'!AF33</f>
        <v>6</v>
      </c>
      <c r="M31" s="5">
        <f>'[3]4_'!AG33</f>
        <v>5.0999999999999996</v>
      </c>
      <c r="N31" s="5">
        <f>'[3]4_'!AH33</f>
        <v>4.8</v>
      </c>
      <c r="O31" s="5">
        <f>'[3]4_'!AI33</f>
        <v>3.1</v>
      </c>
      <c r="P31" s="59">
        <f>'[3]4_'!AJ33</f>
        <v>3.1138605000000004</v>
      </c>
      <c r="Q31" s="5">
        <f>'[3]4_'!AK33</f>
        <v>3.2539842225000002</v>
      </c>
      <c r="R31" s="5">
        <f>'[3]4_'!AL33</f>
        <v>3.3841435914000004</v>
      </c>
      <c r="S31" s="5">
        <f>'[3]4_'!AM33</f>
        <v>3.5195093350560005</v>
      </c>
      <c r="T31" s="6">
        <f>'[3]4_'!AN33</f>
        <v>3.6602897084582406</v>
      </c>
      <c r="U31" s="6">
        <f>'[3]4_'!AO33</f>
        <v>3.6602897084582406</v>
      </c>
    </row>
    <row r="32" spans="1:21" customFormat="1" ht="14">
      <c r="A32" s="71"/>
      <c r="B32" s="7" t="s">
        <v>230</v>
      </c>
      <c r="C32" s="154" t="s">
        <v>231</v>
      </c>
      <c r="D32" s="77">
        <v>25.172699999999999</v>
      </c>
      <c r="E32" s="87">
        <v>28.851700000000001</v>
      </c>
      <c r="F32" s="87">
        <v>27.5594</v>
      </c>
      <c r="G32" s="10">
        <v>28.009499999999999</v>
      </c>
      <c r="H32" s="60">
        <v>30.473400000000002</v>
      </c>
      <c r="I32" s="5">
        <f>'[3]4_'!AC34</f>
        <v>30.4984</v>
      </c>
      <c r="J32" s="10">
        <f>'[3]4_'!AD34</f>
        <v>32.230200000000004</v>
      </c>
      <c r="K32" s="11">
        <f>'[3]4_'!AE34</f>
        <v>30.175812000000001</v>
      </c>
      <c r="L32" s="10">
        <f>'[3]4_'!AF34</f>
        <v>29.6</v>
      </c>
      <c r="M32" s="10">
        <f>'[3]4_'!AG34</f>
        <v>29.794899999999998</v>
      </c>
      <c r="N32" s="10">
        <f>'[3]4_'!AH34</f>
        <v>28.6983</v>
      </c>
      <c r="O32" s="10">
        <f>'[3]4_'!AI34</f>
        <v>29.3</v>
      </c>
      <c r="P32" s="60">
        <f>'[3]4_'!AJ34</f>
        <v>29.38</v>
      </c>
      <c r="Q32" s="10">
        <f>'[3]4_'!AK34</f>
        <v>29.25</v>
      </c>
      <c r="R32" s="10">
        <f>'[3]4_'!AL34</f>
        <v>29.05</v>
      </c>
      <c r="S32" s="10">
        <f>'[3]4_'!AM34</f>
        <v>29.19</v>
      </c>
      <c r="T32" s="11">
        <f>'[3]4_'!AN34</f>
        <v>29.6</v>
      </c>
      <c r="U32" s="11">
        <f>'[3]4_'!AO34</f>
        <v>29.6</v>
      </c>
    </row>
    <row r="33" spans="1:21" customFormat="1" ht="14">
      <c r="A33" s="117" t="s">
        <v>25</v>
      </c>
      <c r="B33" s="189" t="s">
        <v>74</v>
      </c>
      <c r="C33" s="167"/>
      <c r="D33" s="120"/>
      <c r="E33" s="123"/>
      <c r="F33" s="123"/>
      <c r="G33" s="123"/>
      <c r="H33" s="120"/>
      <c r="I33" s="119"/>
      <c r="J33" s="123"/>
      <c r="K33" s="124"/>
      <c r="L33" s="123"/>
      <c r="M33" s="123"/>
      <c r="N33" s="123"/>
      <c r="O33" s="123"/>
      <c r="P33" s="120"/>
      <c r="Q33" s="123"/>
      <c r="R33" s="123"/>
      <c r="S33" s="123"/>
      <c r="T33" s="124"/>
      <c r="U33" s="124"/>
    </row>
    <row r="34" spans="1:21" customFormat="1" ht="14">
      <c r="A34" s="129" t="s">
        <v>32</v>
      </c>
      <c r="B34" s="192" t="s">
        <v>75</v>
      </c>
      <c r="C34" s="171"/>
      <c r="D34" s="130"/>
      <c r="E34" s="131"/>
      <c r="F34" s="131"/>
      <c r="G34" s="131"/>
      <c r="H34" s="130"/>
      <c r="I34" s="131"/>
      <c r="J34" s="131"/>
      <c r="K34" s="132"/>
      <c r="L34" s="131"/>
      <c r="M34" s="131"/>
      <c r="N34" s="131"/>
      <c r="O34" s="131"/>
      <c r="P34" s="130"/>
      <c r="Q34" s="131"/>
      <c r="R34" s="131"/>
      <c r="S34" s="131"/>
      <c r="T34" s="132"/>
      <c r="U34" s="132"/>
    </row>
    <row r="35" spans="1:21" customFormat="1" ht="14">
      <c r="A35" s="66"/>
      <c r="B35" s="2" t="s">
        <v>232</v>
      </c>
      <c r="C35" s="153" t="s">
        <v>202</v>
      </c>
      <c r="D35" s="59">
        <v>43016.643071402505</v>
      </c>
      <c r="E35" s="5">
        <v>42056.057164973208</v>
      </c>
      <c r="F35" s="5">
        <v>41644.020143330301</v>
      </c>
      <c r="G35" s="5">
        <v>41205.102168984107</v>
      </c>
      <c r="H35" s="59">
        <v>38755.992211168304</v>
      </c>
      <c r="I35" s="5">
        <f>'[4]O&amp;G'!AC6</f>
        <v>38814.279999999992</v>
      </c>
      <c r="J35" s="5">
        <f>'[4]O&amp;G'!AD6</f>
        <v>37453.699999999997</v>
      </c>
      <c r="K35" s="6">
        <f>'[4]O&amp;G'!AE6</f>
        <v>34532.019634202588</v>
      </c>
      <c r="L35" s="5">
        <f>'[4]O&amp;G'!AF6</f>
        <v>34580.320421769116</v>
      </c>
      <c r="M35" s="5">
        <f>'[4]O&amp;G'!AG6</f>
        <v>32646.400000000001</v>
      </c>
      <c r="N35" s="5">
        <f>'[4]O&amp;G'!AH6</f>
        <v>30147.4</v>
      </c>
      <c r="O35" s="5">
        <f>'[4]O&amp;G'!AI6</f>
        <v>29052.201000000001</v>
      </c>
      <c r="P35" s="59">
        <f>'[4]O&amp;G'!AJ6</f>
        <v>28453.311134772979</v>
      </c>
      <c r="Q35" s="5">
        <f>'[4]O&amp;G'!AK6</f>
        <v>27639.428588181108</v>
      </c>
      <c r="R35" s="5">
        <f>'[4]O&amp;G'!AL6</f>
        <v>27068.232788814184</v>
      </c>
      <c r="S35" s="5">
        <f>'[4]O&amp;G'!AM6</f>
        <v>26592.944343339463</v>
      </c>
      <c r="T35" s="6">
        <f>'[4]O&amp;G'!AN6</f>
        <v>27391.540145878393</v>
      </c>
      <c r="U35" s="6">
        <f>'[4]O&amp;G'!AO6</f>
        <v>27282.867562008782</v>
      </c>
    </row>
    <row r="36" spans="1:21" customFormat="1" ht="14">
      <c r="A36" s="66"/>
      <c r="B36" s="193" t="s">
        <v>233</v>
      </c>
      <c r="C36" s="153" t="s">
        <v>234</v>
      </c>
      <c r="D36" s="59">
        <v>29420.1</v>
      </c>
      <c r="E36" s="5">
        <v>29500.086096999999</v>
      </c>
      <c r="F36" s="5">
        <v>29175.1</v>
      </c>
      <c r="G36" s="5">
        <v>29331.4</v>
      </c>
      <c r="H36" s="59">
        <v>28597.9</v>
      </c>
      <c r="I36" s="5">
        <f>'[4]O&amp;G'!AC29</f>
        <v>30490.32</v>
      </c>
      <c r="J36" s="5">
        <f>'[4]O&amp;G'!AD29</f>
        <v>35616.51</v>
      </c>
      <c r="K36" s="6">
        <f>'[4]O&amp;G'!AE29</f>
        <v>37140.9</v>
      </c>
      <c r="L36" s="5">
        <f>'[4]O&amp;G'!AF29</f>
        <v>43867.39</v>
      </c>
      <c r="M36" s="5">
        <f>'[4]O&amp;G'!AG29</f>
        <v>46737.1</v>
      </c>
      <c r="N36" s="5">
        <f>'[4]O&amp;G'!AH29</f>
        <v>48497.200000000004</v>
      </c>
      <c r="O36" s="5">
        <f>'[4]O&amp;G'!AI29</f>
        <v>50339.394999999997</v>
      </c>
      <c r="P36" s="59">
        <f>'[4]O&amp;G'!AJ29</f>
        <v>50386.594706224874</v>
      </c>
      <c r="Q36" s="5">
        <f>'[4]O&amp;G'!AK29</f>
        <v>48437.023360913896</v>
      </c>
      <c r="R36" s="5">
        <f>'[4]O&amp;G'!AL29</f>
        <v>47923.707334798135</v>
      </c>
      <c r="S36" s="5">
        <f>'[4]O&amp;G'!AM29</f>
        <v>45666.718439515178</v>
      </c>
      <c r="T36" s="6">
        <f>'[4]O&amp;G'!AN29</f>
        <v>48062.581116493602</v>
      </c>
      <c r="U36" s="6">
        <f>'[4]O&amp;G'!AO29</f>
        <v>48054.080790423759</v>
      </c>
    </row>
    <row r="37" spans="1:21" customFormat="1" ht="14">
      <c r="A37" s="66"/>
      <c r="B37" s="191" t="s">
        <v>235</v>
      </c>
      <c r="C37" s="153" t="s">
        <v>234</v>
      </c>
      <c r="D37" s="59">
        <v>17895.099999999999</v>
      </c>
      <c r="E37" s="5">
        <v>18826.5</v>
      </c>
      <c r="F37" s="5">
        <v>19236.099999999999</v>
      </c>
      <c r="G37" s="5">
        <v>18717.599999999999</v>
      </c>
      <c r="H37" s="59">
        <v>18186</v>
      </c>
      <c r="I37" s="5">
        <f>'[4]O&amp;G'!AC47</f>
        <v>19194.309999999998</v>
      </c>
      <c r="J37" s="5">
        <f>'[4]O&amp;G'!AD47</f>
        <v>24481.300000000003</v>
      </c>
      <c r="K37" s="6">
        <f>'[4]O&amp;G'!AE47</f>
        <v>26455.03</v>
      </c>
      <c r="L37" s="5">
        <f>'[4]O&amp;G'!AF47</f>
        <v>32578.34</v>
      </c>
      <c r="M37" s="5">
        <f>'[4]O&amp;G'!AG47</f>
        <v>34955.5</v>
      </c>
      <c r="N37" s="5">
        <f>'[4]O&amp;G'!AH47</f>
        <v>36414.400000000009</v>
      </c>
      <c r="O37" s="5">
        <f>'[4]O&amp;G'!AI47</f>
        <v>38608.100000000006</v>
      </c>
      <c r="P37" s="59">
        <f>'[4]O&amp;G'!AJ47</f>
        <v>38644.05050658156</v>
      </c>
      <c r="Q37" s="5">
        <f>'[4]O&amp;G'!AK47</f>
        <v>38008.428767662466</v>
      </c>
      <c r="R37" s="5">
        <f>'[4]O&amp;G'!AL47</f>
        <v>36657.650210300919</v>
      </c>
      <c r="S37" s="5">
        <f>'[4]O&amp;G'!AM47</f>
        <v>34533.248990308042</v>
      </c>
      <c r="T37" s="6">
        <f>'[4]O&amp;G'!AN47</f>
        <v>36984.916814658012</v>
      </c>
      <c r="U37" s="6">
        <f>'[4]O&amp;G'!AO47</f>
        <v>36528.805814658015</v>
      </c>
    </row>
    <row r="38" spans="1:21" customFormat="1" ht="14">
      <c r="A38" s="129" t="s">
        <v>33</v>
      </c>
      <c r="B38" s="192" t="s">
        <v>76</v>
      </c>
      <c r="C38" s="171"/>
      <c r="D38" s="130"/>
      <c r="E38" s="131"/>
      <c r="F38" s="131"/>
      <c r="G38" s="131"/>
      <c r="H38" s="130"/>
      <c r="I38" s="131"/>
      <c r="J38" s="131"/>
      <c r="K38" s="132"/>
      <c r="L38" s="131"/>
      <c r="M38" s="131"/>
      <c r="N38" s="131"/>
      <c r="O38" s="131"/>
      <c r="P38" s="130"/>
      <c r="Q38" s="131"/>
      <c r="R38" s="131"/>
      <c r="S38" s="131"/>
      <c r="T38" s="132"/>
      <c r="U38" s="132"/>
    </row>
    <row r="39" spans="1:21" customFormat="1" ht="14">
      <c r="A39" s="66"/>
      <c r="B39" s="102" t="s">
        <v>236</v>
      </c>
      <c r="C39" s="153" t="s">
        <v>237</v>
      </c>
      <c r="D39" s="59">
        <v>1619.3</v>
      </c>
      <c r="E39" s="5">
        <v>1873</v>
      </c>
      <c r="F39" s="5">
        <v>2229.1999999999998</v>
      </c>
      <c r="G39" s="5">
        <v>1895.3</v>
      </c>
      <c r="H39" s="59">
        <v>3667.1</v>
      </c>
      <c r="I39" s="5">
        <f>'[5]2.2 VAR'!R18</f>
        <v>0.2233</v>
      </c>
      <c r="J39" s="5">
        <f>'[5]2.2 VAR'!S18</f>
        <v>0.18490000000000001</v>
      </c>
      <c r="K39" s="6">
        <f>'[5]2.2 VAR'!T15</f>
        <v>3566</v>
      </c>
      <c r="L39" s="5">
        <f>'[5]2.2 VAR'!U15</f>
        <v>3348.5</v>
      </c>
      <c r="M39" s="5">
        <f>'[5]2.2 VAR'!V15</f>
        <v>3174.7</v>
      </c>
      <c r="N39" s="5">
        <f>'[5]2.2 VAR'!W15</f>
        <v>2729.3</v>
      </c>
      <c r="O39" s="5">
        <f>'[5]2.2 VAR'!X15</f>
        <v>2660.9300000000003</v>
      </c>
      <c r="P39" s="59">
        <f>'[5]2.2 VAR'!Y15</f>
        <v>3052.5898632448943</v>
      </c>
      <c r="Q39" s="5">
        <f>'[5]2.2 VAR'!Z15</f>
        <v>3230.0291305877163</v>
      </c>
      <c r="R39" s="5">
        <f>'[5]2.2 VAR'!AA15</f>
        <v>2653.8221749432169</v>
      </c>
      <c r="S39" s="5">
        <f>'[5]2.2 VAR'!AB15</f>
        <v>4992.5069378050266</v>
      </c>
      <c r="T39" s="6">
        <f>'[5]2.2 VAR'!AC15</f>
        <v>4258.4786801289865</v>
      </c>
      <c r="U39" s="6">
        <f>'[5]2.2 VAR'!AD15</f>
        <v>4177.9531403444016</v>
      </c>
    </row>
    <row r="40" spans="1:21" customFormat="1" ht="14">
      <c r="A40" s="66"/>
      <c r="B40" s="194" t="s">
        <v>385</v>
      </c>
      <c r="C40" s="153" t="s">
        <v>224</v>
      </c>
      <c r="D40" s="59">
        <v>630.1</v>
      </c>
      <c r="E40" s="5">
        <v>239.5</v>
      </c>
      <c r="F40" s="5">
        <v>132.5</v>
      </c>
      <c r="G40" s="5">
        <v>320.10000000000002</v>
      </c>
      <c r="H40" s="59">
        <v>3428.6</v>
      </c>
      <c r="I40" s="5">
        <f>'[5]2.2 VAR'!R19</f>
        <v>5.6083999999999996</v>
      </c>
      <c r="J40" s="5">
        <f>'[5]2.2 VAR'!S19</f>
        <v>4.3532000000000002</v>
      </c>
      <c r="K40" s="6">
        <f>'[5]2.2 VAR'!T17</f>
        <v>2714.2613000000001</v>
      </c>
      <c r="L40" s="5">
        <f>'[5]2.2 VAR'!U17</f>
        <v>2677.4268999999999</v>
      </c>
      <c r="M40" s="5">
        <f>'[5]2.2 VAR'!V17</f>
        <v>2503</v>
      </c>
      <c r="N40" s="5">
        <f>'[5]2.2 VAR'!W17</f>
        <v>2136.71</v>
      </c>
      <c r="O40" s="5">
        <f>'[5]2.2 VAR'!X17</f>
        <v>239.89</v>
      </c>
      <c r="P40" s="59">
        <f>'[5]2.2 VAR'!Y17</f>
        <v>8926.9814334627918</v>
      </c>
      <c r="Q40" s="5">
        <f>'[5]2.2 VAR'!Z17</f>
        <v>20872.32</v>
      </c>
      <c r="R40" s="5">
        <f>'[5]2.2 VAR'!AA17</f>
        <v>20872.32</v>
      </c>
      <c r="S40" s="5">
        <f>'[5]2.2 VAR'!AB17</f>
        <v>20872.32</v>
      </c>
      <c r="T40" s="6">
        <f>'[5]2.2 VAR'!AC17</f>
        <v>40777.928469869104</v>
      </c>
      <c r="U40" s="6">
        <f>'[5]2.2 VAR'!AD17</f>
        <v>27094.223798252224</v>
      </c>
    </row>
    <row r="41" spans="1:21" customFormat="1" ht="14" hidden="1">
      <c r="A41" s="129" t="s">
        <v>77</v>
      </c>
      <c r="B41" s="192" t="s">
        <v>78</v>
      </c>
      <c r="C41" s="171"/>
      <c r="D41" s="130"/>
      <c r="E41" s="131"/>
      <c r="F41" s="131"/>
      <c r="G41" s="131"/>
      <c r="H41" s="130"/>
      <c r="I41" s="131"/>
      <c r="J41" s="131"/>
      <c r="K41" s="132"/>
      <c r="L41" s="131"/>
      <c r="M41" s="131"/>
      <c r="N41" s="131"/>
      <c r="O41" s="131"/>
      <c r="P41" s="130"/>
      <c r="Q41" s="131"/>
      <c r="R41" s="131"/>
      <c r="S41" s="131"/>
      <c r="T41" s="132"/>
      <c r="U41" s="132"/>
    </row>
    <row r="42" spans="1:21" customFormat="1" ht="28" hidden="1">
      <c r="A42" s="66"/>
      <c r="B42" s="16" t="s">
        <v>238</v>
      </c>
      <c r="C42" s="153" t="s">
        <v>202</v>
      </c>
      <c r="D42" s="59">
        <v>2107.5</v>
      </c>
      <c r="E42" s="5">
        <v>1868.6</v>
      </c>
      <c r="F42" s="5">
        <v>862.2</v>
      </c>
      <c r="G42" s="5">
        <v>739.8</v>
      </c>
      <c r="H42" s="59">
        <v>1238.3</v>
      </c>
      <c r="I42" s="5">
        <f>'[5]2.3'!R13</f>
        <v>201.53899999999999</v>
      </c>
      <c r="J42" s="5">
        <f>'[5]2.3'!S13</f>
        <v>203.6114</v>
      </c>
      <c r="K42" s="6">
        <f>'[5]2.3'!T17</f>
        <v>1471.2591</v>
      </c>
      <c r="L42" s="5">
        <f>'[5]2.3'!U17</f>
        <v>2990.5345000000002</v>
      </c>
      <c r="M42" s="5">
        <f>'[5]2.3'!V17</f>
        <v>2314.1052</v>
      </c>
      <c r="N42" s="5">
        <f>'[5]2.3'!W17</f>
        <v>2469.402</v>
      </c>
      <c r="O42" s="5">
        <f>'[5]2.3'!X17</f>
        <v>4057.8321000000001</v>
      </c>
      <c r="P42" s="59">
        <f>'[5]2.3'!Y17</f>
        <v>4423.0269836607213</v>
      </c>
      <c r="Q42" s="5">
        <f>'[5]2.3'!Z17</f>
        <v>4423.0269836607213</v>
      </c>
      <c r="R42" s="5">
        <f>'[5]2.3'!AA17</f>
        <v>4423.0269836607213</v>
      </c>
      <c r="S42" s="5">
        <f>'[5]2.3'!AB17</f>
        <v>4423.0269836607213</v>
      </c>
      <c r="T42" s="6">
        <f>'[5]2.3'!AC17</f>
        <v>4423.0269836607213</v>
      </c>
      <c r="U42" s="6">
        <f>'[5]2.3'!AD17</f>
        <v>4423.0269836607213</v>
      </c>
    </row>
    <row r="43" spans="1:21" customFormat="1" ht="14" hidden="1">
      <c r="A43" s="66"/>
      <c r="B43" s="195" t="s">
        <v>239</v>
      </c>
      <c r="C43" s="153" t="s">
        <v>202</v>
      </c>
      <c r="D43" s="59">
        <v>97.7</v>
      </c>
      <c r="E43" s="5">
        <v>81.900000000000006</v>
      </c>
      <c r="F43" s="5">
        <v>56.8</v>
      </c>
      <c r="G43" s="5">
        <v>49.3</v>
      </c>
      <c r="H43" s="59">
        <v>235.6</v>
      </c>
      <c r="I43" s="5" t="e">
        <f>'[5]2.3'!#REF!</f>
        <v>#REF!</v>
      </c>
      <c r="J43" s="5" t="e">
        <f>'[5]2.3'!#REF!</f>
        <v>#REF!</v>
      </c>
      <c r="K43" s="6">
        <f>'[5]2.3'!T13</f>
        <v>146.23400000000001</v>
      </c>
      <c r="L43" s="5">
        <f>'[5]2.3'!U13</f>
        <v>170.595</v>
      </c>
      <c r="M43" s="5">
        <f>'[5]2.3'!V13</f>
        <v>170.667</v>
      </c>
      <c r="N43" s="5">
        <f>'[5]2.3'!W13</f>
        <v>123.59399999999999</v>
      </c>
      <c r="O43" s="5">
        <f>'[5]2.3'!X13</f>
        <v>250.0445</v>
      </c>
      <c r="P43" s="59">
        <f>'[5]2.3'!Y13</f>
        <v>231.4</v>
      </c>
      <c r="Q43" s="5">
        <f>'[5]2.3'!Z13</f>
        <v>231.4</v>
      </c>
      <c r="R43" s="5">
        <f>'[5]2.3'!AA13</f>
        <v>231.4</v>
      </c>
      <c r="S43" s="5">
        <f>'[5]2.3'!AB13</f>
        <v>231.4</v>
      </c>
      <c r="T43" s="6">
        <f>'[5]2.3'!AC13</f>
        <v>231.4</v>
      </c>
      <c r="U43" s="6">
        <f>'[5]2.3'!AD13</f>
        <v>231.4</v>
      </c>
    </row>
    <row r="44" spans="1:21" customFormat="1" ht="14" hidden="1">
      <c r="A44" s="66"/>
      <c r="B44" s="195" t="s">
        <v>240</v>
      </c>
      <c r="C44" s="153" t="s">
        <v>202</v>
      </c>
      <c r="D44" s="59">
        <v>443.9</v>
      </c>
      <c r="E44" s="5">
        <v>662.5</v>
      </c>
      <c r="F44" s="5">
        <v>491.5</v>
      </c>
      <c r="G44" s="5">
        <v>233.8</v>
      </c>
      <c r="H44" s="59">
        <v>585.20000000000005</v>
      </c>
      <c r="I44" s="5">
        <f>'[5]2.3'!R14</f>
        <v>270.4545</v>
      </c>
      <c r="J44" s="5">
        <f>'[5]2.3'!S14</f>
        <v>314.22430000000003</v>
      </c>
      <c r="K44" s="6">
        <f>'[5]2.3'!T14</f>
        <v>297.59440000000001</v>
      </c>
      <c r="L44" s="5">
        <f>'[5]2.3'!U14</f>
        <v>417.8922</v>
      </c>
      <c r="M44" s="5">
        <f>'[5]2.3'!V14</f>
        <v>369.52370000000002</v>
      </c>
      <c r="N44" s="5">
        <f>'[5]2.3'!W14</f>
        <v>596.94809999999995</v>
      </c>
      <c r="O44" s="5">
        <f>'[5]2.3'!X14</f>
        <v>566.64094999999998</v>
      </c>
      <c r="P44" s="59">
        <f>'[5]2.3'!Y14</f>
        <v>604.60714136520915</v>
      </c>
      <c r="Q44" s="5">
        <f>'[5]2.3'!Z14</f>
        <v>604.60714136520915</v>
      </c>
      <c r="R44" s="5">
        <f>'[5]2.3'!AA14</f>
        <v>604.60714136520915</v>
      </c>
      <c r="S44" s="5">
        <f>'[5]2.3'!AB14</f>
        <v>604.60714136520915</v>
      </c>
      <c r="T44" s="6">
        <f>'[5]2.3'!AC14</f>
        <v>604.60714136520915</v>
      </c>
      <c r="U44" s="6">
        <f>'[5]2.3'!AD14</f>
        <v>604.60714136520915</v>
      </c>
    </row>
    <row r="45" spans="1:21" customFormat="1" ht="14" hidden="1">
      <c r="A45" s="67"/>
      <c r="B45" s="196" t="s">
        <v>241</v>
      </c>
      <c r="C45" s="154" t="s">
        <v>202</v>
      </c>
      <c r="D45" s="60">
        <v>2139</v>
      </c>
      <c r="E45" s="10">
        <v>1420</v>
      </c>
      <c r="F45" s="10">
        <v>752.7</v>
      </c>
      <c r="G45" s="10">
        <v>267.10000000000002</v>
      </c>
      <c r="H45" s="60">
        <v>836.3</v>
      </c>
      <c r="I45" s="10">
        <f>'[5]2.3'!R15</f>
        <v>7.3311999999999999</v>
      </c>
      <c r="J45" s="10">
        <f>'[5]2.3'!S15</f>
        <v>28.888500000000001</v>
      </c>
      <c r="K45" s="11">
        <f>'[5]2.3'!T16</f>
        <v>1161.2488999999998</v>
      </c>
      <c r="L45" s="10">
        <f>'[5]2.3'!U16</f>
        <v>1775.5373</v>
      </c>
      <c r="M45" s="10">
        <f>'[5]2.3'!V16</f>
        <v>1276.1639</v>
      </c>
      <c r="N45" s="10">
        <f>'[5]2.3'!W16</f>
        <v>1414.2303999999999</v>
      </c>
      <c r="O45" s="10">
        <f>'[5]2.3'!X16</f>
        <v>1501.6291000000001</v>
      </c>
      <c r="P45" s="60">
        <f>'[5]2.3'!Y16</f>
        <v>1734.4235554469276</v>
      </c>
      <c r="Q45" s="10">
        <f>'[5]2.3'!Z16</f>
        <v>1734.4235554469276</v>
      </c>
      <c r="R45" s="10">
        <f>'[5]2.3'!AA16</f>
        <v>1734.4235554469276</v>
      </c>
      <c r="S45" s="10">
        <f>'[5]2.3'!AB16</f>
        <v>1734.4235554469276</v>
      </c>
      <c r="T45" s="11">
        <f>'[5]2.3'!AC16</f>
        <v>1734.4235554469276</v>
      </c>
      <c r="U45" s="11">
        <f>'[5]2.3'!AD16</f>
        <v>1734.4235554469276</v>
      </c>
    </row>
    <row r="46" spans="1:21" customFormat="1" ht="14">
      <c r="A46" s="128" t="s">
        <v>17</v>
      </c>
      <c r="B46" s="197" t="s">
        <v>81</v>
      </c>
      <c r="C46" s="165"/>
      <c r="D46" s="120"/>
      <c r="E46" s="123"/>
      <c r="F46" s="123"/>
      <c r="G46" s="123"/>
      <c r="H46" s="120"/>
      <c r="I46" s="123"/>
      <c r="J46" s="123"/>
      <c r="K46" s="124"/>
      <c r="L46" s="123"/>
      <c r="M46" s="123"/>
      <c r="N46" s="123"/>
      <c r="O46" s="123"/>
      <c r="P46" s="120"/>
      <c r="Q46" s="123"/>
      <c r="R46" s="123"/>
      <c r="S46" s="123"/>
      <c r="T46" s="124"/>
      <c r="U46" s="124"/>
    </row>
    <row r="47" spans="1:21" customFormat="1" ht="14" hidden="1">
      <c r="A47" s="129" t="s">
        <v>18</v>
      </c>
      <c r="B47" s="190" t="s">
        <v>82</v>
      </c>
      <c r="C47" s="171"/>
      <c r="D47" s="130"/>
      <c r="E47" s="131"/>
      <c r="F47" s="131"/>
      <c r="G47" s="131"/>
      <c r="H47" s="130"/>
      <c r="I47" s="131"/>
      <c r="J47" s="131"/>
      <c r="K47" s="132"/>
      <c r="L47" s="131"/>
      <c r="M47" s="131"/>
      <c r="N47" s="131"/>
      <c r="O47" s="131"/>
      <c r="P47" s="130"/>
      <c r="Q47" s="131"/>
      <c r="R47" s="131"/>
      <c r="S47" s="131"/>
      <c r="T47" s="132"/>
      <c r="U47" s="132"/>
    </row>
    <row r="48" spans="1:21" customFormat="1" ht="14" hidden="1">
      <c r="A48" s="66"/>
      <c r="B48" s="2" t="s">
        <v>242</v>
      </c>
      <c r="C48" s="153" t="s">
        <v>202</v>
      </c>
      <c r="D48" s="59">
        <v>117.7</v>
      </c>
      <c r="E48" s="5">
        <v>119.2</v>
      </c>
      <c r="F48" s="5">
        <v>126.2</v>
      </c>
      <c r="G48" s="5">
        <v>127.6</v>
      </c>
      <c r="H48" s="59">
        <v>129.4</v>
      </c>
      <c r="I48" s="5" t="e">
        <f>#REF!</f>
        <v>#REF!</v>
      </c>
      <c r="J48" s="5" t="e">
        <f>#REF!</f>
        <v>#REF!</v>
      </c>
      <c r="K48" s="6" t="e">
        <f>#REF!</f>
        <v>#REF!</v>
      </c>
      <c r="L48" s="5" t="e">
        <f>#REF!</f>
        <v>#REF!</v>
      </c>
      <c r="M48" s="5" t="e">
        <f>#REF!</f>
        <v>#REF!</v>
      </c>
      <c r="N48" s="5" t="e">
        <f>#REF!</f>
        <v>#REF!</v>
      </c>
      <c r="O48" s="5" t="e">
        <f>#REF!</f>
        <v>#REF!</v>
      </c>
      <c r="P48" s="59" t="e">
        <f>#REF!</f>
        <v>#REF!</v>
      </c>
      <c r="Q48" s="5" t="e">
        <f>#REF!</f>
        <v>#REF!</v>
      </c>
      <c r="R48" s="5" t="e">
        <f>#REF!</f>
        <v>#REF!</v>
      </c>
      <c r="S48" s="5" t="e">
        <f>#REF!</f>
        <v>#REF!</v>
      </c>
      <c r="T48" s="6" t="e">
        <f>#REF!</f>
        <v>#REF!</v>
      </c>
      <c r="U48" s="6" t="e">
        <f>#REF!</f>
        <v>#REF!</v>
      </c>
    </row>
    <row r="49" spans="1:21" customFormat="1" ht="14" hidden="1">
      <c r="A49" s="66"/>
      <c r="B49" s="2" t="s">
        <v>243</v>
      </c>
      <c r="C49" s="153" t="s">
        <v>202</v>
      </c>
      <c r="D49" s="59">
        <v>85</v>
      </c>
      <c r="E49" s="5">
        <v>90</v>
      </c>
      <c r="F49" s="5">
        <v>87.8</v>
      </c>
      <c r="G49" s="5">
        <v>86.2</v>
      </c>
      <c r="H49" s="59">
        <v>94.2</v>
      </c>
      <c r="I49" s="5" t="e">
        <f>#REF!</f>
        <v>#REF!</v>
      </c>
      <c r="J49" s="5" t="e">
        <f>#REF!</f>
        <v>#REF!</v>
      </c>
      <c r="K49" s="6" t="e">
        <f>#REF!</f>
        <v>#REF!</v>
      </c>
      <c r="L49" s="5" t="e">
        <f>#REF!</f>
        <v>#REF!</v>
      </c>
      <c r="M49" s="5" t="e">
        <f>#REF!</f>
        <v>#REF!</v>
      </c>
      <c r="N49" s="5" t="e">
        <f>#REF!</f>
        <v>#REF!</v>
      </c>
      <c r="O49" s="5" t="e">
        <f>#REF!</f>
        <v>#REF!</v>
      </c>
      <c r="P49" s="59" t="e">
        <f>#REF!</f>
        <v>#REF!</v>
      </c>
      <c r="Q49" s="5" t="e">
        <f>#REF!</f>
        <v>#REF!</v>
      </c>
      <c r="R49" s="5" t="e">
        <f>#REF!</f>
        <v>#REF!</v>
      </c>
      <c r="S49" s="5" t="e">
        <f>#REF!</f>
        <v>#REF!</v>
      </c>
      <c r="T49" s="6" t="e">
        <f>#REF!</f>
        <v>#REF!</v>
      </c>
      <c r="U49" s="6" t="e">
        <f>#REF!</f>
        <v>#REF!</v>
      </c>
    </row>
    <row r="50" spans="1:21" customFormat="1" ht="14" hidden="1">
      <c r="A50" s="66"/>
      <c r="B50" s="2" t="s">
        <v>244</v>
      </c>
      <c r="C50" s="153" t="s">
        <v>245</v>
      </c>
      <c r="D50" s="59">
        <v>3602.5</v>
      </c>
      <c r="E50" s="5">
        <v>3652.4</v>
      </c>
      <c r="F50" s="5">
        <v>3633.9000000000005</v>
      </c>
      <c r="G50" s="5">
        <v>2133.8000000000002</v>
      </c>
      <c r="H50" s="59">
        <v>435.9</v>
      </c>
      <c r="I50" s="5" t="e">
        <f>#REF!</f>
        <v>#REF!</v>
      </c>
      <c r="J50" s="5" t="e">
        <f>#REF!</f>
        <v>#REF!</v>
      </c>
      <c r="K50" s="6" t="e">
        <f>#REF!</f>
        <v>#REF!</v>
      </c>
      <c r="L50" s="5" t="e">
        <f>#REF!</f>
        <v>#REF!</v>
      </c>
      <c r="M50" s="5" t="e">
        <f>#REF!</f>
        <v>#REF!</v>
      </c>
      <c r="N50" s="5" t="e">
        <f>#REF!</f>
        <v>#REF!</v>
      </c>
      <c r="O50" s="5" t="e">
        <f>#REF!</f>
        <v>#REF!</v>
      </c>
      <c r="P50" s="59" t="e">
        <f>#REF!</f>
        <v>#REF!</v>
      </c>
      <c r="Q50" s="5" t="e">
        <f>#REF!</f>
        <v>#REF!</v>
      </c>
      <c r="R50" s="5" t="e">
        <f>#REF!</f>
        <v>#REF!</v>
      </c>
      <c r="S50" s="5" t="e">
        <f>#REF!</f>
        <v>#REF!</v>
      </c>
      <c r="T50" s="6" t="e">
        <f>#REF!</f>
        <v>#REF!</v>
      </c>
      <c r="U50" s="6" t="e">
        <f>#REF!</f>
        <v>#REF!</v>
      </c>
    </row>
    <row r="51" spans="1:21" customFormat="1" ht="14" hidden="1">
      <c r="A51" s="66"/>
      <c r="B51" s="2" t="s">
        <v>246</v>
      </c>
      <c r="C51" s="153" t="s">
        <v>202</v>
      </c>
      <c r="D51" s="59">
        <v>830.2</v>
      </c>
      <c r="E51" s="5">
        <v>840.1</v>
      </c>
      <c r="F51" s="5">
        <v>857.4</v>
      </c>
      <c r="G51" s="5">
        <v>887.6</v>
      </c>
      <c r="H51" s="59">
        <v>925.3</v>
      </c>
      <c r="I51" s="5" t="e">
        <f>#REF!</f>
        <v>#REF!</v>
      </c>
      <c r="J51" s="5" t="e">
        <f>#REF!</f>
        <v>#REF!</v>
      </c>
      <c r="K51" s="6" t="e">
        <f>#REF!</f>
        <v>#REF!</v>
      </c>
      <c r="L51" s="5" t="e">
        <f>#REF!</f>
        <v>#REF!</v>
      </c>
      <c r="M51" s="5" t="e">
        <f>#REF!</f>
        <v>#REF!</v>
      </c>
      <c r="N51" s="5" t="e">
        <f>#REF!</f>
        <v>#REF!</v>
      </c>
      <c r="O51" s="5" t="e">
        <f>#REF!</f>
        <v>#REF!</v>
      </c>
      <c r="P51" s="59" t="e">
        <f>#REF!</f>
        <v>#REF!</v>
      </c>
      <c r="Q51" s="5" t="e">
        <f>#REF!</f>
        <v>#REF!</v>
      </c>
      <c r="R51" s="5" t="e">
        <f>#REF!</f>
        <v>#REF!</v>
      </c>
      <c r="S51" s="5" t="e">
        <f>#REF!</f>
        <v>#REF!</v>
      </c>
      <c r="T51" s="6" t="e">
        <f>#REF!</f>
        <v>#REF!</v>
      </c>
      <c r="U51" s="6" t="e">
        <f>#REF!</f>
        <v>#REF!</v>
      </c>
    </row>
    <row r="52" spans="1:21" customFormat="1" ht="14" hidden="1">
      <c r="A52" s="66"/>
      <c r="B52" s="2" t="s">
        <v>247</v>
      </c>
      <c r="C52" s="153" t="s">
        <v>202</v>
      </c>
      <c r="D52" s="59">
        <v>423.1</v>
      </c>
      <c r="E52" s="5">
        <v>410.6</v>
      </c>
      <c r="F52" s="5">
        <v>335.6</v>
      </c>
      <c r="G52" s="5">
        <v>418.7</v>
      </c>
      <c r="H52" s="59">
        <v>228.4</v>
      </c>
      <c r="I52" s="5" t="e">
        <f>#REF!</f>
        <v>#REF!</v>
      </c>
      <c r="J52" s="5" t="e">
        <f>#REF!</f>
        <v>#REF!</v>
      </c>
      <c r="K52" s="6" t="e">
        <f>#REF!</f>
        <v>#REF!</v>
      </c>
      <c r="L52" s="5" t="e">
        <f>#REF!</f>
        <v>#REF!</v>
      </c>
      <c r="M52" s="5" t="e">
        <f>#REF!</f>
        <v>#REF!</v>
      </c>
      <c r="N52" s="5" t="e">
        <f>#REF!</f>
        <v>#REF!</v>
      </c>
      <c r="O52" s="5" t="e">
        <f>#REF!</f>
        <v>#REF!</v>
      </c>
      <c r="P52" s="59" t="e">
        <f>#REF!</f>
        <v>#REF!</v>
      </c>
      <c r="Q52" s="5" t="e">
        <f>#REF!</f>
        <v>#REF!</v>
      </c>
      <c r="R52" s="5" t="e">
        <f>#REF!</f>
        <v>#REF!</v>
      </c>
      <c r="S52" s="5" t="e">
        <f>#REF!</f>
        <v>#REF!</v>
      </c>
      <c r="T52" s="6" t="e">
        <f>#REF!</f>
        <v>#REF!</v>
      </c>
      <c r="U52" s="6" t="e">
        <f>#REF!</f>
        <v>#REF!</v>
      </c>
    </row>
    <row r="53" spans="1:21" customFormat="1" ht="14" hidden="1">
      <c r="A53" s="66"/>
      <c r="B53" s="2" t="s">
        <v>248</v>
      </c>
      <c r="C53" s="153" t="s">
        <v>202</v>
      </c>
      <c r="D53" s="59">
        <v>21.9</v>
      </c>
      <c r="E53" s="5">
        <v>23.4</v>
      </c>
      <c r="F53" s="5">
        <v>23.9</v>
      </c>
      <c r="G53" s="5">
        <v>25.6</v>
      </c>
      <c r="H53" s="59">
        <v>25.3</v>
      </c>
      <c r="I53" s="5" t="e">
        <f>#REF!</f>
        <v>#REF!</v>
      </c>
      <c r="J53" s="5" t="e">
        <f>#REF!</f>
        <v>#REF!</v>
      </c>
      <c r="K53" s="6" t="e">
        <f>#REF!</f>
        <v>#REF!</v>
      </c>
      <c r="L53" s="5" t="e">
        <f>#REF!</f>
        <v>#REF!</v>
      </c>
      <c r="M53" s="5" t="e">
        <f>#REF!</f>
        <v>#REF!</v>
      </c>
      <c r="N53" s="5" t="e">
        <f>#REF!</f>
        <v>#REF!</v>
      </c>
      <c r="O53" s="5" t="e">
        <f>#REF!</f>
        <v>#REF!</v>
      </c>
      <c r="P53" s="59" t="e">
        <f>#REF!</f>
        <v>#REF!</v>
      </c>
      <c r="Q53" s="5" t="e">
        <f>#REF!</f>
        <v>#REF!</v>
      </c>
      <c r="R53" s="5" t="e">
        <f>#REF!</f>
        <v>#REF!</v>
      </c>
      <c r="S53" s="5" t="e">
        <f>#REF!</f>
        <v>#REF!</v>
      </c>
      <c r="T53" s="6" t="e">
        <f>#REF!</f>
        <v>#REF!</v>
      </c>
      <c r="U53" s="6" t="e">
        <f>#REF!</f>
        <v>#REF!</v>
      </c>
    </row>
    <row r="54" spans="1:21" customFormat="1" ht="14" hidden="1">
      <c r="A54" s="66"/>
      <c r="B54" s="2" t="s">
        <v>249</v>
      </c>
      <c r="C54" s="153" t="s">
        <v>202</v>
      </c>
      <c r="D54" s="59">
        <v>47.3</v>
      </c>
      <c r="E54" s="5">
        <v>49.8</v>
      </c>
      <c r="F54" s="5">
        <v>48.5</v>
      </c>
      <c r="G54" s="5">
        <v>49.4</v>
      </c>
      <c r="H54" s="59">
        <v>54</v>
      </c>
      <c r="I54" s="5" t="e">
        <f>#REF!</f>
        <v>#REF!</v>
      </c>
      <c r="J54" s="5" t="e">
        <f>#REF!</f>
        <v>#REF!</v>
      </c>
      <c r="K54" s="6" t="e">
        <f>#REF!</f>
        <v>#REF!</v>
      </c>
      <c r="L54" s="5" t="e">
        <f>#REF!</f>
        <v>#REF!</v>
      </c>
      <c r="M54" s="5" t="e">
        <f>#REF!</f>
        <v>#REF!</v>
      </c>
      <c r="N54" s="5" t="e">
        <f>#REF!</f>
        <v>#REF!</v>
      </c>
      <c r="O54" s="5" t="e">
        <f>#REF!</f>
        <v>#REF!</v>
      </c>
      <c r="P54" s="59" t="e">
        <f>#REF!</f>
        <v>#REF!</v>
      </c>
      <c r="Q54" s="5" t="e">
        <f>#REF!</f>
        <v>#REF!</v>
      </c>
      <c r="R54" s="5" t="e">
        <f>#REF!</f>
        <v>#REF!</v>
      </c>
      <c r="S54" s="5" t="e">
        <f>#REF!</f>
        <v>#REF!</v>
      </c>
      <c r="T54" s="6" t="e">
        <f>#REF!</f>
        <v>#REF!</v>
      </c>
      <c r="U54" s="6" t="e">
        <f>#REF!</f>
        <v>#REF!</v>
      </c>
    </row>
    <row r="55" spans="1:21" customFormat="1" ht="14" hidden="1">
      <c r="A55" s="66"/>
      <c r="B55" s="2" t="s">
        <v>250</v>
      </c>
      <c r="C55" s="153" t="s">
        <v>202</v>
      </c>
      <c r="D55" s="59">
        <v>100.2</v>
      </c>
      <c r="E55" s="5">
        <v>106.9</v>
      </c>
      <c r="F55" s="5">
        <v>106.7</v>
      </c>
      <c r="G55" s="5">
        <v>82.2</v>
      </c>
      <c r="H55" s="59">
        <v>80.400000000000006</v>
      </c>
      <c r="I55" s="5" t="e">
        <f>#REF!</f>
        <v>#REF!</v>
      </c>
      <c r="J55" s="5" t="e">
        <f>#REF!</f>
        <v>#REF!</v>
      </c>
      <c r="K55" s="6" t="e">
        <f>#REF!</f>
        <v>#REF!</v>
      </c>
      <c r="L55" s="5" t="e">
        <f>#REF!</f>
        <v>#REF!</v>
      </c>
      <c r="M55" s="5" t="e">
        <f>#REF!</f>
        <v>#REF!</v>
      </c>
      <c r="N55" s="5" t="e">
        <f>#REF!</f>
        <v>#REF!</v>
      </c>
      <c r="O55" s="5" t="e">
        <f>#REF!</f>
        <v>#REF!</v>
      </c>
      <c r="P55" s="59" t="e">
        <f>#REF!</f>
        <v>#REF!</v>
      </c>
      <c r="Q55" s="5" t="e">
        <f>#REF!</f>
        <v>#REF!</v>
      </c>
      <c r="R55" s="5" t="e">
        <f>#REF!</f>
        <v>#REF!</v>
      </c>
      <c r="S55" s="5" t="e">
        <f>#REF!</f>
        <v>#REF!</v>
      </c>
      <c r="T55" s="6" t="e">
        <f>#REF!</f>
        <v>#REF!</v>
      </c>
      <c r="U55" s="6" t="e">
        <f>#REF!</f>
        <v>#REF!</v>
      </c>
    </row>
    <row r="56" spans="1:21" customFormat="1" ht="14" hidden="1">
      <c r="A56" s="66"/>
      <c r="B56" s="2" t="s">
        <v>251</v>
      </c>
      <c r="C56" s="153" t="s">
        <v>202</v>
      </c>
      <c r="D56" s="59">
        <v>1438</v>
      </c>
      <c r="E56" s="5">
        <v>1476</v>
      </c>
      <c r="F56" s="5">
        <v>1507</v>
      </c>
      <c r="G56" s="5">
        <v>1582.3</v>
      </c>
      <c r="H56" s="59">
        <v>1601.3</v>
      </c>
      <c r="I56" s="5" t="e">
        <f>#REF!</f>
        <v>#REF!</v>
      </c>
      <c r="J56" s="5" t="e">
        <f>#REF!</f>
        <v>#REF!</v>
      </c>
      <c r="K56" s="6" t="e">
        <f>#REF!</f>
        <v>#REF!</v>
      </c>
      <c r="L56" s="5" t="e">
        <f>#REF!</f>
        <v>#REF!</v>
      </c>
      <c r="M56" s="5" t="e">
        <f>#REF!</f>
        <v>#REF!</v>
      </c>
      <c r="N56" s="5" t="e">
        <f>#REF!</f>
        <v>#REF!</v>
      </c>
      <c r="O56" s="5" t="e">
        <f>#REF!</f>
        <v>#REF!</v>
      </c>
      <c r="P56" s="59" t="e">
        <f>#REF!</f>
        <v>#REF!</v>
      </c>
      <c r="Q56" s="5" t="e">
        <f>#REF!</f>
        <v>#REF!</v>
      </c>
      <c r="R56" s="5" t="e">
        <f>#REF!</f>
        <v>#REF!</v>
      </c>
      <c r="S56" s="5" t="e">
        <f>#REF!</f>
        <v>#REF!</v>
      </c>
      <c r="T56" s="6" t="e">
        <f>#REF!</f>
        <v>#REF!</v>
      </c>
      <c r="U56" s="6" t="e">
        <f>#REF!</f>
        <v>#REF!</v>
      </c>
    </row>
    <row r="57" spans="1:21" customFormat="1" ht="14" hidden="1">
      <c r="A57" s="66"/>
      <c r="B57" s="2" t="s">
        <v>252</v>
      </c>
      <c r="C57" s="153" t="s">
        <v>202</v>
      </c>
      <c r="D57" s="59">
        <v>741.8</v>
      </c>
      <c r="E57" s="5">
        <v>745.6</v>
      </c>
      <c r="F57" s="5">
        <v>754.8</v>
      </c>
      <c r="G57" s="5">
        <v>762</v>
      </c>
      <c r="H57" s="59">
        <v>1223</v>
      </c>
      <c r="I57" s="5" t="e">
        <f>#REF!</f>
        <v>#REF!</v>
      </c>
      <c r="J57" s="5" t="e">
        <f>#REF!</f>
        <v>#REF!</v>
      </c>
      <c r="K57" s="6" t="e">
        <f>#REF!</f>
        <v>#REF!</v>
      </c>
      <c r="L57" s="5" t="e">
        <f>#REF!</f>
        <v>#REF!</v>
      </c>
      <c r="M57" s="5" t="e">
        <f>#REF!</f>
        <v>#REF!</v>
      </c>
      <c r="N57" s="5" t="e">
        <f>#REF!</f>
        <v>#REF!</v>
      </c>
      <c r="O57" s="5" t="e">
        <f>#REF!</f>
        <v>#REF!</v>
      </c>
      <c r="P57" s="59" t="e">
        <f>#REF!</f>
        <v>#REF!</v>
      </c>
      <c r="Q57" s="5" t="e">
        <f>#REF!</f>
        <v>#REF!</v>
      </c>
      <c r="R57" s="5" t="e">
        <f>#REF!</f>
        <v>#REF!</v>
      </c>
      <c r="S57" s="5" t="e">
        <f>#REF!</f>
        <v>#REF!</v>
      </c>
      <c r="T57" s="6" t="e">
        <f>#REF!</f>
        <v>#REF!</v>
      </c>
      <c r="U57" s="6" t="e">
        <f>#REF!</f>
        <v>#REF!</v>
      </c>
    </row>
    <row r="58" spans="1:21" customFormat="1" ht="14" hidden="1">
      <c r="A58" s="71"/>
      <c r="B58" s="7" t="s">
        <v>253</v>
      </c>
      <c r="C58" s="154" t="s">
        <v>202</v>
      </c>
      <c r="D58" s="60">
        <v>27.5</v>
      </c>
      <c r="E58" s="10">
        <v>32</v>
      </c>
      <c r="F58" s="10">
        <v>36.299999999999997</v>
      </c>
      <c r="G58" s="10">
        <v>60.6</v>
      </c>
      <c r="H58" s="60">
        <v>63.618699999999997</v>
      </c>
      <c r="I58" s="10" t="e">
        <f>#REF!</f>
        <v>#REF!</v>
      </c>
      <c r="J58" s="10" t="e">
        <f>#REF!</f>
        <v>#REF!</v>
      </c>
      <c r="K58" s="11" t="e">
        <f>#REF!</f>
        <v>#REF!</v>
      </c>
      <c r="L58" s="10" t="e">
        <f>#REF!</f>
        <v>#REF!</v>
      </c>
      <c r="M58" s="10" t="e">
        <f>#REF!</f>
        <v>#REF!</v>
      </c>
      <c r="N58" s="10" t="e">
        <f>#REF!</f>
        <v>#REF!</v>
      </c>
      <c r="O58" s="10" t="e">
        <f>#REF!</f>
        <v>#REF!</v>
      </c>
      <c r="P58" s="60" t="e">
        <f>#REF!</f>
        <v>#REF!</v>
      </c>
      <c r="Q58" s="10" t="e">
        <f>#REF!</f>
        <v>#REF!</v>
      </c>
      <c r="R58" s="10" t="e">
        <f>#REF!</f>
        <v>#REF!</v>
      </c>
      <c r="S58" s="10" t="e">
        <f>#REF!</f>
        <v>#REF!</v>
      </c>
      <c r="T58" s="11" t="e">
        <f>#REF!</f>
        <v>#REF!</v>
      </c>
      <c r="U58" s="11" t="e">
        <f>#REF!</f>
        <v>#REF!</v>
      </c>
    </row>
    <row r="59" spans="1:21" customFormat="1" ht="14">
      <c r="A59" s="129" t="s">
        <v>19</v>
      </c>
      <c r="B59" s="198" t="s">
        <v>83</v>
      </c>
      <c r="C59" s="171"/>
      <c r="D59" s="130"/>
      <c r="E59" s="131"/>
      <c r="F59" s="131"/>
      <c r="G59" s="131"/>
      <c r="H59" s="130"/>
      <c r="I59" s="131"/>
      <c r="J59" s="131"/>
      <c r="K59" s="132"/>
      <c r="L59" s="131"/>
      <c r="M59" s="131"/>
      <c r="N59" s="131"/>
      <c r="O59" s="131"/>
      <c r="P59" s="130"/>
      <c r="Q59" s="131"/>
      <c r="R59" s="131"/>
      <c r="S59" s="131"/>
      <c r="T59" s="132"/>
      <c r="U59" s="132"/>
    </row>
    <row r="60" spans="1:21" customFormat="1" ht="14">
      <c r="A60" s="66"/>
      <c r="B60" s="2" t="s">
        <v>254</v>
      </c>
      <c r="C60" s="153" t="s">
        <v>245</v>
      </c>
      <c r="D60" s="59">
        <v>16.3</v>
      </c>
      <c r="E60" s="5">
        <v>9.1999999999999993</v>
      </c>
      <c r="F60" s="5">
        <v>4.5</v>
      </c>
      <c r="G60" s="5">
        <v>3</v>
      </c>
      <c r="H60" s="59">
        <v>1.2</v>
      </c>
      <c r="I60" s="5">
        <f>'[5]3.2. VAR'!R21</f>
        <v>23757.4</v>
      </c>
      <c r="J60" s="5">
        <f>'[5]3.2. VAR'!S21</f>
        <v>26812.7</v>
      </c>
      <c r="K60" s="6">
        <f>'[5]3.2. VAR'!T34</f>
        <v>0.4</v>
      </c>
      <c r="L60" s="5">
        <f>'[5]3.2. VAR'!U34</f>
        <v>0.6</v>
      </c>
      <c r="M60" s="5">
        <f>'[5]3.2. VAR'!V34</f>
        <v>1.1000000000000001</v>
      </c>
      <c r="N60" s="5">
        <f>'[5]3.2. VAR'!W34</f>
        <v>29.4</v>
      </c>
      <c r="O60" s="5">
        <f>'[5]3.2. VAR'!X34</f>
        <v>48.6</v>
      </c>
      <c r="P60" s="59">
        <f>'[5]3.2. VAR'!Y34</f>
        <v>3</v>
      </c>
      <c r="Q60" s="5">
        <f>'[5]3.2. VAR'!Z34</f>
        <v>3.2</v>
      </c>
      <c r="R60" s="5">
        <f>'[5]3.2. VAR'!AA34</f>
        <v>3.4</v>
      </c>
      <c r="S60" s="5">
        <f>'[5]3.2. VAR'!AB34</f>
        <v>3.6</v>
      </c>
      <c r="T60" s="6">
        <f>'[5]3.2. VAR'!AC34</f>
        <v>3.8</v>
      </c>
      <c r="U60" s="6">
        <f>'[5]3.2. VAR'!AD34</f>
        <v>2.75</v>
      </c>
    </row>
    <row r="61" spans="1:21" customFormat="1" ht="14">
      <c r="A61" s="66"/>
      <c r="B61" s="2" t="s">
        <v>393</v>
      </c>
      <c r="C61" s="153" t="s">
        <v>245</v>
      </c>
      <c r="D61" s="59">
        <v>844.9</v>
      </c>
      <c r="E61" s="5">
        <v>668</v>
      </c>
      <c r="F61" s="5">
        <v>770.7</v>
      </c>
      <c r="G61" s="5">
        <v>571.20000000000005</v>
      </c>
      <c r="H61" s="59">
        <v>549.20000000000005</v>
      </c>
      <c r="I61" s="5">
        <f>'[5]3.2. VAR'!R22</f>
        <v>873.9</v>
      </c>
      <c r="J61" s="5">
        <f>'[5]3.2. VAR'!S22</f>
        <v>1046.8</v>
      </c>
      <c r="K61" s="6">
        <f>'[5]3.2. VAR'!T24</f>
        <v>1716.6000000000001</v>
      </c>
      <c r="L61" s="5">
        <f>'[5]3.2. VAR'!U24</f>
        <v>1782.2</v>
      </c>
      <c r="M61" s="5">
        <f>'[5]3.2. VAR'!V24</f>
        <v>1606.3</v>
      </c>
      <c r="N61" s="5">
        <f>'[5]3.2. VAR'!W24</f>
        <v>1438.7</v>
      </c>
      <c r="O61" s="5">
        <f>'[5]3.2. VAR'!X24</f>
        <v>1504.4</v>
      </c>
      <c r="P61" s="59">
        <f>'[5]3.2. VAR'!Y24</f>
        <v>1616.572942</v>
      </c>
      <c r="Q61" s="5">
        <f>'[5]3.2. VAR'!Z24</f>
        <v>1680.0031524000003</v>
      </c>
      <c r="R61" s="5">
        <f>'[5]3.2. VAR'!AA24</f>
        <v>1722.4026048800001</v>
      </c>
      <c r="S61" s="5">
        <f>'[5]3.2. VAR'!AB24</f>
        <v>1794.882347856</v>
      </c>
      <c r="T61" s="6">
        <f>'[5]3.2. VAR'!AC24</f>
        <v>1851.8575594272002</v>
      </c>
      <c r="U61" s="6">
        <f>'[5]3.2. VAR'!AD24</f>
        <v>1828.2015594272002</v>
      </c>
    </row>
    <row r="62" spans="1:21" customFormat="1" ht="28">
      <c r="A62" s="66"/>
      <c r="B62" s="2" t="s">
        <v>397</v>
      </c>
      <c r="C62" s="153" t="s">
        <v>245</v>
      </c>
      <c r="D62" s="59">
        <v>835.5</v>
      </c>
      <c r="E62" s="5">
        <v>1003</v>
      </c>
      <c r="F62" s="5">
        <v>1035</v>
      </c>
      <c r="G62" s="5">
        <v>990.8</v>
      </c>
      <c r="H62" s="59">
        <v>1130.5</v>
      </c>
      <c r="I62" s="5">
        <f>'[5]3.2. VAR'!R23</f>
        <v>677</v>
      </c>
      <c r="J62" s="5">
        <f>'[5]3.2. VAR'!S23</f>
        <v>745</v>
      </c>
      <c r="K62" s="6">
        <f>'[5]3.2. VAR'!T29+'[5]3.2. VAR'!T30+'[5]3.2. VAR'!T31+'[5]3.2. VAR'!T32+'[5]3.2. VAR'!T33</f>
        <v>1267.2000000000003</v>
      </c>
      <c r="L62" s="5">
        <f>'[5]3.2. VAR'!U29+'[5]3.2. VAR'!U30+'[5]3.2. VAR'!U31+'[5]3.2. VAR'!U32+'[5]3.2. VAR'!U33</f>
        <v>1317.3</v>
      </c>
      <c r="M62" s="5">
        <f>'[5]3.2. VAR'!V29+'[5]3.2. VAR'!V30+'[5]3.2. VAR'!V31+'[5]3.2. VAR'!V32+'[5]3.2. VAR'!V33</f>
        <v>1136.2</v>
      </c>
      <c r="N62" s="5">
        <f>'[5]3.2. VAR'!W29+'[5]3.2. VAR'!W30+'[5]3.2. VAR'!W31+'[5]3.2. VAR'!W32+'[5]3.2. VAR'!W33</f>
        <v>1066.0999999999999</v>
      </c>
      <c r="O62" s="5">
        <f>'[5]3.2. VAR'!X29+'[5]3.2. VAR'!X30+'[5]3.2. VAR'!X31+'[5]3.2. VAR'!X32+'[5]3.2. VAR'!X33</f>
        <v>907.00000000000011</v>
      </c>
      <c r="P62" s="59">
        <f>'[5]3.2. VAR'!Y29+'[5]3.2. VAR'!Y30+'[5]3.2. VAR'!Y31+'[5]3.2. VAR'!Y32+'[5]3.2. VAR'!Y33</f>
        <v>836.84532350806251</v>
      </c>
      <c r="Q62" s="5">
        <f>'[5]3.2. VAR'!Z29+'[5]3.2. VAR'!Z30+'[5]3.2. VAR'!Z31+'[5]3.2. VAR'!Z32+'[5]3.2. VAR'!Z33</f>
        <v>840.43688594068703</v>
      </c>
      <c r="R62" s="5">
        <f>'[5]3.2. VAR'!AA29+'[5]3.2. VAR'!AA30+'[5]3.2. VAR'!AA31+'[5]3.2. VAR'!AA32+'[5]3.2. VAR'!AA33</f>
        <v>864.90004933845273</v>
      </c>
      <c r="S62" s="5">
        <f>'[5]3.2. VAR'!AB29+'[5]3.2. VAR'!AB30+'[5]3.2. VAR'!AB31+'[5]3.2. VAR'!AB32+'[5]3.2. VAR'!AB33</f>
        <v>892.78473066933589</v>
      </c>
      <c r="T62" s="6">
        <f>'[5]3.2. VAR'!AC29+'[5]3.2. VAR'!AC30+'[5]3.2. VAR'!AC31+'[5]3.2. VAR'!AC32+'[5]3.2. VAR'!AC33</f>
        <v>916.62190330261853</v>
      </c>
      <c r="U62" s="6">
        <f>'[5]3.2. VAR'!AD29+'[5]3.2. VAR'!AD30+'[5]3.2. VAR'!AD31+'[5]3.2. VAR'!AD32+'[5]3.2. VAR'!AD33</f>
        <v>1024.6203079778466</v>
      </c>
    </row>
    <row r="63" spans="1:21" customFormat="1" ht="14">
      <c r="A63" s="66"/>
      <c r="B63" s="2" t="s">
        <v>394</v>
      </c>
      <c r="C63" s="153" t="s">
        <v>245</v>
      </c>
      <c r="D63" s="59">
        <v>5215</v>
      </c>
      <c r="E63" s="5">
        <v>5149</v>
      </c>
      <c r="F63" s="5">
        <v>4197</v>
      </c>
      <c r="G63" s="5">
        <v>3262.6</v>
      </c>
      <c r="H63" s="59">
        <v>4100</v>
      </c>
      <c r="I63" s="5" t="e">
        <f>'[5]3.2. VAR'!#REF!</f>
        <v>#REF!</v>
      </c>
      <c r="J63" s="5" t="e">
        <f>'[5]3.2. VAR'!#REF!</f>
        <v>#REF!</v>
      </c>
      <c r="K63" s="6">
        <f>'[5]3.2. VAR'!T27</f>
        <v>5446.3</v>
      </c>
      <c r="L63" s="5">
        <f>'[5]3.2. VAR'!U27</f>
        <v>4671.4000000000005</v>
      </c>
      <c r="M63" s="5">
        <f>'[5]3.2. VAR'!V27</f>
        <v>4671.8</v>
      </c>
      <c r="N63" s="5">
        <f>'[5]3.2. VAR'!W27</f>
        <v>5171.6000000000004</v>
      </c>
      <c r="O63" s="5">
        <f>'[5]3.2. VAR'!X27</f>
        <v>5312.9</v>
      </c>
      <c r="P63" s="59">
        <f>'[5]3.2. VAR'!Y27</f>
        <v>5414.9919877093662</v>
      </c>
      <c r="Q63" s="5">
        <f>'[5]3.2. VAR'!Z27</f>
        <v>5520.0839754187346</v>
      </c>
      <c r="R63" s="5">
        <f>'[5]3.2. VAR'!AA27</f>
        <v>5700.9313222827977</v>
      </c>
      <c r="S63" s="5">
        <f>'[5]3.2. VAR'!AB27</f>
        <v>5949.7198883969377</v>
      </c>
      <c r="T63" s="6">
        <f>'[5]3.2. VAR'!AC27</f>
        <v>5980.7198883969377</v>
      </c>
      <c r="U63" s="6">
        <f>'[5]3.2. VAR'!AD27</f>
        <v>5875.3598883969389</v>
      </c>
    </row>
    <row r="64" spans="1:21" customFormat="1" ht="14" hidden="1">
      <c r="A64" s="66"/>
      <c r="B64" s="2" t="s">
        <v>395</v>
      </c>
      <c r="C64" s="153" t="s">
        <v>245</v>
      </c>
      <c r="D64" s="59">
        <v>132.5</v>
      </c>
      <c r="E64" s="5">
        <v>134.19999999999999</v>
      </c>
      <c r="F64" s="5">
        <v>3.8</v>
      </c>
      <c r="G64" s="5">
        <v>15</v>
      </c>
      <c r="H64" s="59">
        <v>6.3</v>
      </c>
      <c r="I64" s="5" t="e">
        <f>'[5]3.2. VAR'!#REF!</f>
        <v>#REF!</v>
      </c>
      <c r="J64" s="5" t="e">
        <f>'[5]3.2. VAR'!#REF!</f>
        <v>#REF!</v>
      </c>
      <c r="K64" s="6">
        <f>'[5]3.2. VAR'!T26</f>
        <v>50.3</v>
      </c>
      <c r="L64" s="5">
        <f>'[5]3.2. VAR'!U26</f>
        <v>33.5</v>
      </c>
      <c r="M64" s="5">
        <f>'[5]3.2. VAR'!V26</f>
        <v>95.9</v>
      </c>
      <c r="N64" s="5">
        <f>'[5]3.2. VAR'!W26</f>
        <v>331.9</v>
      </c>
      <c r="O64" s="5">
        <f>'[5]3.2. VAR'!X26</f>
        <v>758.6</v>
      </c>
      <c r="P64" s="59">
        <f>'[5]3.2. VAR'!Y26</f>
        <v>853.73998800000004</v>
      </c>
      <c r="Q64" s="5">
        <f>'[5]3.2. VAR'!Z26</f>
        <v>871.18345360000012</v>
      </c>
      <c r="R64" s="5">
        <f>'[5]3.2. VAR'!AA26</f>
        <v>874.14913232000004</v>
      </c>
      <c r="S64" s="5">
        <f>'[5]3.2. VAR'!AB26</f>
        <v>877.38794678399995</v>
      </c>
      <c r="T64" s="6">
        <f>'[5]3.2. VAR'!AC26</f>
        <v>882.00452414080007</v>
      </c>
      <c r="U64" s="6">
        <f>'[5]3.2. VAR'!AD26</f>
        <v>929.3105241408</v>
      </c>
    </row>
    <row r="65" spans="1:21" customFormat="1" ht="14" hidden="1">
      <c r="A65" s="67"/>
      <c r="B65" s="7" t="s">
        <v>255</v>
      </c>
      <c r="C65" s="154" t="s">
        <v>245</v>
      </c>
      <c r="D65" s="60">
        <v>26658</v>
      </c>
      <c r="E65" s="10">
        <v>28269</v>
      </c>
      <c r="F65" s="10">
        <v>24885</v>
      </c>
      <c r="G65" s="10">
        <v>17853.3</v>
      </c>
      <c r="H65" s="60">
        <v>18290</v>
      </c>
      <c r="I65" s="10">
        <f>'[5]3.2. VAR'!R24</f>
        <v>858.9</v>
      </c>
      <c r="J65" s="10">
        <f>'[5]3.2. VAR'!S24</f>
        <v>2213.6999999999998</v>
      </c>
      <c r="K65" s="11">
        <f>'[5]3.2. VAR'!T21</f>
        <v>26212.3</v>
      </c>
      <c r="L65" s="10">
        <f>'[5]3.2. VAR'!U21</f>
        <v>35283.9</v>
      </c>
      <c r="M65" s="10">
        <f>'[5]3.2. VAR'!V21</f>
        <v>37822.01</v>
      </c>
      <c r="N65" s="10">
        <f>'[5]3.2. VAR'!W21</f>
        <v>42539.6</v>
      </c>
      <c r="O65" s="10">
        <f>'[5]3.2. VAR'!X21</f>
        <v>49863.8</v>
      </c>
      <c r="P65" s="60">
        <f>'[5]3.2. VAR'!Y21</f>
        <v>52146.006941</v>
      </c>
      <c r="Q65" s="10">
        <f>'[5]3.2. VAR'!Z21</f>
        <v>54240.18823734</v>
      </c>
      <c r="R65" s="10">
        <f>'[5]3.2. VAR'!AA21</f>
        <v>56091.993972570199</v>
      </c>
      <c r="S65" s="10">
        <f>'[5]3.2. VAR'!AB21</f>
        <v>58036.938219857308</v>
      </c>
      <c r="T65" s="11">
        <f>'[5]3.2. VAR'!AC21</f>
        <v>60079.627054563025</v>
      </c>
      <c r="U65" s="11">
        <f>'[5]3.2. VAR'!AD21</f>
        <v>53022.07231856302</v>
      </c>
    </row>
    <row r="66" spans="1:21" customFormat="1" ht="14">
      <c r="A66" s="129" t="s">
        <v>84</v>
      </c>
      <c r="B66" s="192" t="s">
        <v>85</v>
      </c>
      <c r="C66" s="171"/>
      <c r="D66" s="130"/>
      <c r="E66" s="131"/>
      <c r="F66" s="131"/>
      <c r="G66" s="131"/>
      <c r="H66" s="130"/>
      <c r="I66" s="131"/>
      <c r="J66" s="131"/>
      <c r="K66" s="132"/>
      <c r="L66" s="131"/>
      <c r="M66" s="131"/>
      <c r="N66" s="131"/>
      <c r="O66" s="131"/>
      <c r="P66" s="130"/>
      <c r="Q66" s="131"/>
      <c r="R66" s="131"/>
      <c r="S66" s="131"/>
      <c r="T66" s="132"/>
      <c r="U66" s="132"/>
    </row>
    <row r="67" spans="1:21" customFormat="1" ht="54.75" customHeight="1">
      <c r="A67" s="66"/>
      <c r="B67" s="2" t="s">
        <v>398</v>
      </c>
      <c r="C67" s="153" t="s">
        <v>224</v>
      </c>
      <c r="D67" s="59">
        <v>2112</v>
      </c>
      <c r="E67" s="5">
        <v>2430</v>
      </c>
      <c r="F67" s="5">
        <v>1692</v>
      </c>
      <c r="G67" s="5">
        <v>1946.9</v>
      </c>
      <c r="H67" s="59">
        <v>3415.6</v>
      </c>
      <c r="I67" s="5">
        <f>'[5]3.3.'!R9</f>
        <v>3501.7</v>
      </c>
      <c r="J67" s="5">
        <f>'[5]3.3.'!S9</f>
        <v>4621.2</v>
      </c>
      <c r="K67" s="6">
        <f>'[5]3.3.'!T9</f>
        <v>4154</v>
      </c>
      <c r="L67" s="5">
        <f>'[5]3.3.'!U9</f>
        <v>4079</v>
      </c>
      <c r="M67" s="5">
        <f>'[5]3.3.'!V9</f>
        <v>3889.6</v>
      </c>
      <c r="N67" s="5">
        <f>'[5]3.3.'!W9</f>
        <v>1967.3</v>
      </c>
      <c r="O67" s="5">
        <f>'[5]3.3.'!X9</f>
        <v>3804.9</v>
      </c>
      <c r="P67" s="59">
        <f>'[5]3.3.'!Y9</f>
        <v>4402.85466923077</v>
      </c>
      <c r="Q67" s="5">
        <f>'[5]3.3.'!Z9</f>
        <v>3796.4706830769233</v>
      </c>
      <c r="R67" s="5">
        <f>'[5]3.3.'!AA9</f>
        <v>3824.8025538461543</v>
      </c>
      <c r="S67" s="5">
        <f>'[5]3.3.'!AB9</f>
        <v>3869.0564676923091</v>
      </c>
      <c r="T67" s="6">
        <f>'[5]3.3.'!AC9</f>
        <v>3943.9251923076931</v>
      </c>
      <c r="U67" s="6">
        <f>'[5]3.3.'!AD9</f>
        <v>3943.9251923076931</v>
      </c>
    </row>
    <row r="68" spans="1:21" customFormat="1" ht="28">
      <c r="A68" s="67"/>
      <c r="B68" s="7" t="s">
        <v>406</v>
      </c>
      <c r="C68" s="154" t="s">
        <v>256</v>
      </c>
      <c r="D68" s="60">
        <v>1009</v>
      </c>
      <c r="E68" s="10">
        <v>2013</v>
      </c>
      <c r="F68" s="10">
        <v>1979</v>
      </c>
      <c r="G68" s="10">
        <v>1655.5</v>
      </c>
      <c r="H68" s="60">
        <v>1241.4000000000001</v>
      </c>
      <c r="I68" s="10">
        <f>'[5]3.3.'!R10</f>
        <v>4949.7</v>
      </c>
      <c r="J68" s="10">
        <f>'[5]3.3.'!S10</f>
        <v>9528.8225000000002</v>
      </c>
      <c r="K68" s="11">
        <f>'[5]3.3.'!T10</f>
        <v>11208.1</v>
      </c>
      <c r="L68" s="10">
        <f>'[5]3.3.'!U10</f>
        <v>15302</v>
      </c>
      <c r="M68" s="10">
        <f>'[5]3.3.'!V10</f>
        <v>13299.19</v>
      </c>
      <c r="N68" s="10">
        <f>'[5]3.3.'!W10</f>
        <v>16010.86</v>
      </c>
      <c r="O68" s="10">
        <f>'[5]3.3.'!X10</f>
        <v>15192.27</v>
      </c>
      <c r="P68" s="60">
        <f>'[5]3.3.'!Y10</f>
        <v>15896.957</v>
      </c>
      <c r="Q68" s="10">
        <f>'[5]3.3.'!Z10</f>
        <v>16706.900000000001</v>
      </c>
      <c r="R68" s="10">
        <f>'[5]3.3.'!AA10</f>
        <v>17233.224000000002</v>
      </c>
      <c r="S68" s="10">
        <f>'[5]3.3.'!AB10</f>
        <v>17795.753000000001</v>
      </c>
      <c r="T68" s="11">
        <f>'[5]3.3.'!AC10</f>
        <v>18353.261999999999</v>
      </c>
      <c r="U68" s="11">
        <f>'[5]3.3.'!AD10</f>
        <v>17877.138999999999</v>
      </c>
    </row>
    <row r="69" spans="1:21" customFormat="1" ht="14" hidden="1">
      <c r="A69" s="129" t="s">
        <v>86</v>
      </c>
      <c r="B69" s="192" t="s">
        <v>87</v>
      </c>
      <c r="C69" s="171"/>
      <c r="D69" s="130"/>
      <c r="E69" s="131"/>
      <c r="F69" s="131"/>
      <c r="G69" s="131"/>
      <c r="H69" s="130"/>
      <c r="I69" s="131"/>
      <c r="J69" s="131"/>
      <c r="K69" s="132"/>
      <c r="L69" s="131"/>
      <c r="M69" s="131"/>
      <c r="N69" s="131"/>
      <c r="O69" s="131"/>
      <c r="P69" s="130"/>
      <c r="Q69" s="131"/>
      <c r="R69" s="131"/>
      <c r="S69" s="131"/>
      <c r="T69" s="132"/>
      <c r="U69" s="132"/>
    </row>
    <row r="70" spans="1:21" customFormat="1" ht="14" hidden="1">
      <c r="A70" s="66"/>
      <c r="B70" s="2" t="s">
        <v>257</v>
      </c>
      <c r="C70" s="153" t="s">
        <v>202</v>
      </c>
      <c r="D70" s="59">
        <v>12.1</v>
      </c>
      <c r="E70" s="5">
        <v>13.5</v>
      </c>
      <c r="F70" s="5">
        <v>6.6</v>
      </c>
      <c r="G70" s="5">
        <v>17.100000000000001</v>
      </c>
      <c r="H70" s="59">
        <v>37.9</v>
      </c>
      <c r="I70" s="5">
        <v>61</v>
      </c>
      <c r="J70" s="5">
        <v>79.3</v>
      </c>
      <c r="K70" s="6">
        <v>87.23</v>
      </c>
      <c r="L70" s="5">
        <v>102.93140000000001</v>
      </c>
      <c r="M70" s="5">
        <v>123.51767999999998</v>
      </c>
      <c r="N70" s="5">
        <v>137.10462479999995</v>
      </c>
      <c r="O70" s="5">
        <v>137.10462479999995</v>
      </c>
      <c r="P70" s="59">
        <v>137.10462479999995</v>
      </c>
      <c r="Q70" s="5">
        <v>137.10462479999995</v>
      </c>
      <c r="R70" s="5">
        <v>137.10462479999995</v>
      </c>
      <c r="S70" s="5">
        <v>137.10462479999995</v>
      </c>
      <c r="T70" s="6">
        <v>137.10462479999995</v>
      </c>
      <c r="U70" s="6">
        <v>137.10462479999995</v>
      </c>
    </row>
    <row r="71" spans="1:21" customFormat="1" ht="28" hidden="1">
      <c r="A71" s="66"/>
      <c r="B71" s="193" t="s">
        <v>258</v>
      </c>
      <c r="C71" s="153" t="s">
        <v>224</v>
      </c>
      <c r="D71" s="59">
        <v>9554.4</v>
      </c>
      <c r="E71" s="5">
        <v>8804.6</v>
      </c>
      <c r="F71" s="5">
        <v>6337.2</v>
      </c>
      <c r="G71" s="5">
        <v>13572.7</v>
      </c>
      <c r="H71" s="59">
        <v>10825.7</v>
      </c>
      <c r="I71" s="5">
        <v>18598.5</v>
      </c>
      <c r="J71" s="5">
        <v>26037.899999999998</v>
      </c>
      <c r="K71" s="6">
        <v>27860.552999999996</v>
      </c>
      <c r="L71" s="5">
        <v>30646.6083</v>
      </c>
      <c r="M71" s="5">
        <v>33711.269130000001</v>
      </c>
      <c r="N71" s="5">
        <v>36071.057969100009</v>
      </c>
      <c r="O71" s="5">
        <v>36071.057969100009</v>
      </c>
      <c r="P71" s="59">
        <v>36071.057969100009</v>
      </c>
      <c r="Q71" s="5">
        <v>36071.057969100009</v>
      </c>
      <c r="R71" s="5">
        <v>36071.057969100009</v>
      </c>
      <c r="S71" s="5">
        <v>36071.057969100009</v>
      </c>
      <c r="T71" s="6">
        <v>36071.057969100009</v>
      </c>
      <c r="U71" s="6">
        <v>36071.057969100009</v>
      </c>
    </row>
    <row r="72" spans="1:21" customFormat="1" ht="14" hidden="1">
      <c r="A72" s="66"/>
      <c r="B72" s="193" t="s">
        <v>259</v>
      </c>
      <c r="C72" s="153" t="s">
        <v>260</v>
      </c>
      <c r="D72" s="59">
        <v>2</v>
      </c>
      <c r="E72" s="5">
        <v>1.6</v>
      </c>
      <c r="F72" s="5">
        <v>0.4</v>
      </c>
      <c r="G72" s="5">
        <v>0.2</v>
      </c>
      <c r="H72" s="59">
        <v>0.4</v>
      </c>
      <c r="I72" s="5">
        <v>2.4</v>
      </c>
      <c r="J72" s="5">
        <v>3.9</v>
      </c>
      <c r="K72" s="6">
        <v>5.5200000000000005</v>
      </c>
      <c r="L72" s="5">
        <v>8.5440000000000005</v>
      </c>
      <c r="M72" s="5">
        <v>14.419200000000004</v>
      </c>
      <c r="N72" s="5">
        <v>30.282240000000009</v>
      </c>
      <c r="O72" s="5">
        <v>30.282240000000009</v>
      </c>
      <c r="P72" s="59">
        <v>30.282240000000009</v>
      </c>
      <c r="Q72" s="5">
        <v>30.282240000000009</v>
      </c>
      <c r="R72" s="5">
        <v>30.282240000000009</v>
      </c>
      <c r="S72" s="5">
        <v>30.282240000000009</v>
      </c>
      <c r="T72" s="6">
        <v>30.282240000000009</v>
      </c>
      <c r="U72" s="6">
        <v>30.282240000000009</v>
      </c>
    </row>
    <row r="73" spans="1:21" customFormat="1" ht="14" hidden="1">
      <c r="A73" s="129" t="s">
        <v>88</v>
      </c>
      <c r="B73" s="192" t="s">
        <v>89</v>
      </c>
      <c r="C73" s="171"/>
      <c r="D73" s="130"/>
      <c r="E73" s="131"/>
      <c r="F73" s="131"/>
      <c r="G73" s="131"/>
      <c r="H73" s="130"/>
      <c r="I73" s="131"/>
      <c r="J73" s="131"/>
      <c r="K73" s="132"/>
      <c r="L73" s="131"/>
      <c r="M73" s="131"/>
      <c r="N73" s="131"/>
      <c r="O73" s="131"/>
      <c r="P73" s="130"/>
      <c r="Q73" s="131"/>
      <c r="R73" s="131"/>
      <c r="S73" s="131"/>
      <c r="T73" s="132"/>
      <c r="U73" s="132"/>
    </row>
    <row r="74" spans="1:21" customFormat="1" ht="28" hidden="1">
      <c r="A74" s="66"/>
      <c r="B74" s="2" t="s">
        <v>261</v>
      </c>
      <c r="C74" s="153" t="s">
        <v>50</v>
      </c>
      <c r="D74" s="59">
        <v>90.1</v>
      </c>
      <c r="E74" s="5">
        <v>34.1</v>
      </c>
      <c r="F74" s="5">
        <v>43.2</v>
      </c>
      <c r="G74" s="5">
        <v>134.69999999999999</v>
      </c>
      <c r="H74" s="59">
        <v>18.3</v>
      </c>
      <c r="I74" s="5">
        <v>30.4</v>
      </c>
      <c r="J74" s="5">
        <v>32.527999999999999</v>
      </c>
      <c r="K74" s="6">
        <v>37.407199999999996</v>
      </c>
      <c r="L74" s="5">
        <v>44.140495999999999</v>
      </c>
      <c r="M74" s="5">
        <v>52.968595199999996</v>
      </c>
      <c r="N74" s="5">
        <v>66.210743999999991</v>
      </c>
      <c r="O74" s="5">
        <v>66.210743999999991</v>
      </c>
      <c r="P74" s="59">
        <v>66.210743999999991</v>
      </c>
      <c r="Q74" s="5">
        <v>66.210743999999991</v>
      </c>
      <c r="R74" s="5">
        <v>66.210743999999991</v>
      </c>
      <c r="S74" s="5">
        <v>66.210743999999991</v>
      </c>
      <c r="T74" s="6">
        <v>66.210743999999991</v>
      </c>
      <c r="U74" s="6">
        <v>66.210743999999991</v>
      </c>
    </row>
    <row r="75" spans="1:21" customFormat="1" ht="14" hidden="1">
      <c r="A75" s="66"/>
      <c r="B75" s="193" t="s">
        <v>262</v>
      </c>
      <c r="C75" s="153" t="s">
        <v>50</v>
      </c>
      <c r="D75" s="59">
        <v>293.3</v>
      </c>
      <c r="E75" s="5">
        <v>293.2</v>
      </c>
      <c r="F75" s="5">
        <v>232.6</v>
      </c>
      <c r="G75" s="5">
        <v>397.2</v>
      </c>
      <c r="H75" s="59">
        <v>344</v>
      </c>
      <c r="I75" s="5">
        <v>242</v>
      </c>
      <c r="J75" s="5">
        <v>258.298</v>
      </c>
      <c r="K75" s="6">
        <v>289.29376000000002</v>
      </c>
      <c r="L75" s="5">
        <v>329.7948864</v>
      </c>
      <c r="M75" s="5">
        <v>382.56206822399997</v>
      </c>
      <c r="N75" s="5">
        <v>455.24886118655996</v>
      </c>
      <c r="O75" s="5">
        <v>455.24886118655996</v>
      </c>
      <c r="P75" s="59">
        <v>455.24886118655996</v>
      </c>
      <c r="Q75" s="5">
        <v>455.24886118655996</v>
      </c>
      <c r="R75" s="5">
        <v>455.24886118655996</v>
      </c>
      <c r="S75" s="5">
        <v>455.24886118655996</v>
      </c>
      <c r="T75" s="6">
        <v>455.24886118655996</v>
      </c>
      <c r="U75" s="6">
        <v>455.24886118655996</v>
      </c>
    </row>
    <row r="76" spans="1:21" customFormat="1" ht="14" hidden="1">
      <c r="A76" s="66"/>
      <c r="B76" s="193" t="s">
        <v>263</v>
      </c>
      <c r="C76" s="153" t="s">
        <v>50</v>
      </c>
      <c r="D76" s="59">
        <v>650</v>
      </c>
      <c r="E76" s="5">
        <v>309.39999999999998</v>
      </c>
      <c r="F76" s="5">
        <v>235</v>
      </c>
      <c r="G76" s="5">
        <v>214.1</v>
      </c>
      <c r="H76" s="59">
        <v>361.7</v>
      </c>
      <c r="I76" s="5">
        <v>213.3</v>
      </c>
      <c r="J76" s="5">
        <v>228.23100000000002</v>
      </c>
      <c r="K76" s="6">
        <v>248.77179000000001</v>
      </c>
      <c r="L76" s="5">
        <v>271.16125110000002</v>
      </c>
      <c r="M76" s="5">
        <v>295.565763699</v>
      </c>
      <c r="N76" s="5">
        <v>325.12234006890003</v>
      </c>
      <c r="O76" s="5">
        <v>325.12234006890003</v>
      </c>
      <c r="P76" s="59">
        <v>325.12234006890003</v>
      </c>
      <c r="Q76" s="5">
        <v>325.12234006890003</v>
      </c>
      <c r="R76" s="5">
        <v>325.12234006890003</v>
      </c>
      <c r="S76" s="5">
        <v>325.12234006890003</v>
      </c>
      <c r="T76" s="6">
        <v>325.12234006890003</v>
      </c>
      <c r="U76" s="6">
        <v>325.12234006890003</v>
      </c>
    </row>
    <row r="77" spans="1:21" customFormat="1" ht="28" hidden="1">
      <c r="A77" s="66"/>
      <c r="B77" s="193" t="s">
        <v>264</v>
      </c>
      <c r="C77" s="153" t="s">
        <v>50</v>
      </c>
      <c r="D77" s="59">
        <v>109.1</v>
      </c>
      <c r="E77" s="5">
        <v>208.1</v>
      </c>
      <c r="F77" s="5">
        <v>87.7</v>
      </c>
      <c r="G77" s="5">
        <v>63.2</v>
      </c>
      <c r="H77" s="59">
        <v>23.3</v>
      </c>
      <c r="I77" s="5">
        <v>15.3</v>
      </c>
      <c r="J77" s="5">
        <v>18.36</v>
      </c>
      <c r="K77" s="6">
        <v>22.95</v>
      </c>
      <c r="L77" s="5">
        <v>30.982500000000002</v>
      </c>
      <c r="M77" s="5">
        <v>44.924625000000006</v>
      </c>
      <c r="N77" s="5">
        <v>58.402012500000012</v>
      </c>
      <c r="O77" s="5">
        <v>58.402012500000012</v>
      </c>
      <c r="P77" s="59">
        <v>58.402012500000012</v>
      </c>
      <c r="Q77" s="5">
        <v>58.402012500000012</v>
      </c>
      <c r="R77" s="5">
        <v>58.402012500000012</v>
      </c>
      <c r="S77" s="5">
        <v>58.402012500000012</v>
      </c>
      <c r="T77" s="6">
        <v>58.402012500000012</v>
      </c>
      <c r="U77" s="6">
        <v>58.402012500000012</v>
      </c>
    </row>
    <row r="78" spans="1:21" customFormat="1" ht="14" hidden="1">
      <c r="A78" s="66"/>
      <c r="B78" s="193" t="s">
        <v>265</v>
      </c>
      <c r="C78" s="153" t="s">
        <v>266</v>
      </c>
      <c r="D78" s="59">
        <v>4499.3</v>
      </c>
      <c r="E78" s="5">
        <v>1663</v>
      </c>
      <c r="F78" s="5">
        <v>3739.3</v>
      </c>
      <c r="G78" s="5">
        <v>1735.7</v>
      </c>
      <c r="H78" s="59">
        <v>1990.8</v>
      </c>
      <c r="I78" s="5">
        <v>2367.8000000000002</v>
      </c>
      <c r="J78" s="5">
        <v>2462.5120000000002</v>
      </c>
      <c r="K78" s="6">
        <v>2585.6376</v>
      </c>
      <c r="L78" s="5">
        <v>2740.7758560000002</v>
      </c>
      <c r="M78" s="5">
        <v>3014.8534416000002</v>
      </c>
      <c r="N78" s="5">
        <v>3225.8931825120003</v>
      </c>
      <c r="O78" s="5">
        <v>3225.8931825120003</v>
      </c>
      <c r="P78" s="59">
        <v>3225.8931825120003</v>
      </c>
      <c r="Q78" s="5">
        <v>3225.8931825120003</v>
      </c>
      <c r="R78" s="5">
        <v>3225.8931825120003</v>
      </c>
      <c r="S78" s="5">
        <v>3225.8931825120003</v>
      </c>
      <c r="T78" s="6">
        <v>3225.8931825120003</v>
      </c>
      <c r="U78" s="6">
        <v>3225.8931825120003</v>
      </c>
    </row>
    <row r="79" spans="1:21" customFormat="1" ht="42" hidden="1">
      <c r="A79" s="66"/>
      <c r="B79" s="193" t="s">
        <v>267</v>
      </c>
      <c r="C79" s="153" t="s">
        <v>50</v>
      </c>
      <c r="D79" s="59">
        <v>36.299999999999997</v>
      </c>
      <c r="E79" s="5">
        <v>49.7</v>
      </c>
      <c r="F79" s="5">
        <v>64.5</v>
      </c>
      <c r="G79" s="5">
        <v>71</v>
      </c>
      <c r="H79" s="59">
        <v>180.3</v>
      </c>
      <c r="I79" s="5">
        <v>335.6</v>
      </c>
      <c r="J79" s="5">
        <v>425</v>
      </c>
      <c r="K79" s="6">
        <v>433.5</v>
      </c>
      <c r="L79" s="5">
        <v>442.17</v>
      </c>
      <c r="M79" s="5">
        <v>451.01340000000005</v>
      </c>
      <c r="N79" s="5">
        <v>460.03366800000003</v>
      </c>
      <c r="O79" s="5">
        <v>460.03366800000003</v>
      </c>
      <c r="P79" s="59">
        <v>460.03366800000003</v>
      </c>
      <c r="Q79" s="5">
        <v>460.03366800000003</v>
      </c>
      <c r="R79" s="5">
        <v>460.03366800000003</v>
      </c>
      <c r="S79" s="5">
        <v>460.03366800000003</v>
      </c>
      <c r="T79" s="6">
        <v>460.03366800000003</v>
      </c>
      <c r="U79" s="6">
        <v>460.03366800000003</v>
      </c>
    </row>
    <row r="80" spans="1:21" customFormat="1" ht="28" hidden="1">
      <c r="A80" s="66"/>
      <c r="B80" s="193" t="s">
        <v>268</v>
      </c>
      <c r="C80" s="153" t="s">
        <v>50</v>
      </c>
      <c r="D80" s="59">
        <v>138</v>
      </c>
      <c r="E80" s="5">
        <v>127.2</v>
      </c>
      <c r="F80" s="5">
        <v>86.6</v>
      </c>
      <c r="G80" s="5">
        <v>272.7</v>
      </c>
      <c r="H80" s="59">
        <v>162.69999999999999</v>
      </c>
      <c r="I80" s="5">
        <v>91.5</v>
      </c>
      <c r="J80" s="5">
        <v>93.72</v>
      </c>
      <c r="K80" s="6">
        <v>107.77799999999999</v>
      </c>
      <c r="L80" s="5">
        <v>129.33359999999999</v>
      </c>
      <c r="M80" s="5">
        <v>161.66699999999997</v>
      </c>
      <c r="N80" s="5">
        <v>177.83369999999996</v>
      </c>
      <c r="O80" s="5">
        <v>177.83369999999996</v>
      </c>
      <c r="P80" s="59">
        <v>177.83369999999996</v>
      </c>
      <c r="Q80" s="5">
        <v>177.83369999999996</v>
      </c>
      <c r="R80" s="5">
        <v>177.83369999999996</v>
      </c>
      <c r="S80" s="5">
        <v>177.83369999999996</v>
      </c>
      <c r="T80" s="6">
        <v>177.83369999999996</v>
      </c>
      <c r="U80" s="6">
        <v>177.83369999999996</v>
      </c>
    </row>
    <row r="81" spans="1:21" customFormat="1" ht="14" hidden="1">
      <c r="A81" s="66"/>
      <c r="B81" s="193" t="s">
        <v>269</v>
      </c>
      <c r="C81" s="153" t="s">
        <v>50</v>
      </c>
      <c r="D81" s="59">
        <v>47.4</v>
      </c>
      <c r="E81" s="5">
        <v>12.5</v>
      </c>
      <c r="F81" s="5">
        <v>15.4</v>
      </c>
      <c r="G81" s="5">
        <v>24.2</v>
      </c>
      <c r="H81" s="59">
        <v>13.1</v>
      </c>
      <c r="I81" s="5">
        <v>7.7</v>
      </c>
      <c r="J81" s="5">
        <v>8.5</v>
      </c>
      <c r="K81" s="6">
        <v>9.3000000000000007</v>
      </c>
      <c r="L81" s="5">
        <v>10.08</v>
      </c>
      <c r="M81" s="5">
        <v>14.4</v>
      </c>
      <c r="N81" s="5">
        <v>17.256959999999999</v>
      </c>
      <c r="O81" s="5">
        <v>17.256959999999999</v>
      </c>
      <c r="P81" s="59">
        <v>17.256959999999999</v>
      </c>
      <c r="Q81" s="5">
        <v>17.256959999999999</v>
      </c>
      <c r="R81" s="5">
        <v>17.256959999999999</v>
      </c>
      <c r="S81" s="5">
        <v>17.256959999999999</v>
      </c>
      <c r="T81" s="6">
        <v>17.256959999999999</v>
      </c>
      <c r="U81" s="6">
        <v>17.256959999999999</v>
      </c>
    </row>
    <row r="82" spans="1:21" customFormat="1" ht="28" hidden="1">
      <c r="A82" s="67"/>
      <c r="B82" s="196" t="s">
        <v>270</v>
      </c>
      <c r="C82" s="154" t="s">
        <v>50</v>
      </c>
      <c r="D82" s="60">
        <v>57.3</v>
      </c>
      <c r="E82" s="10">
        <v>106.4</v>
      </c>
      <c r="F82" s="10">
        <v>90.2</v>
      </c>
      <c r="G82" s="10">
        <v>94.1</v>
      </c>
      <c r="H82" s="60">
        <v>182.8</v>
      </c>
      <c r="I82" s="10">
        <v>153</v>
      </c>
      <c r="J82" s="10">
        <v>163.17500000000001</v>
      </c>
      <c r="K82" s="11">
        <v>187.65125</v>
      </c>
      <c r="L82" s="10">
        <v>197.03381250000001</v>
      </c>
      <c r="M82" s="10">
        <v>204.915165</v>
      </c>
      <c r="N82" s="10">
        <v>211.06261995</v>
      </c>
      <c r="O82" s="10">
        <v>211.06261995</v>
      </c>
      <c r="P82" s="60">
        <v>211.06261995</v>
      </c>
      <c r="Q82" s="10">
        <v>211.06261995</v>
      </c>
      <c r="R82" s="10">
        <v>211.06261995</v>
      </c>
      <c r="S82" s="10">
        <v>211.06261995</v>
      </c>
      <c r="T82" s="11">
        <v>211.06261995</v>
      </c>
      <c r="U82" s="11">
        <v>211.06261995</v>
      </c>
    </row>
    <row r="83" spans="1:21" customFormat="1" ht="28" hidden="1">
      <c r="A83" s="129" t="s">
        <v>90</v>
      </c>
      <c r="B83" s="192" t="s">
        <v>91</v>
      </c>
      <c r="C83" s="171"/>
      <c r="D83" s="130"/>
      <c r="E83" s="131"/>
      <c r="F83" s="131"/>
      <c r="G83" s="131"/>
      <c r="H83" s="130"/>
      <c r="I83" s="131"/>
      <c r="J83" s="131"/>
      <c r="K83" s="132"/>
      <c r="L83" s="131"/>
      <c r="M83" s="131"/>
      <c r="N83" s="131"/>
      <c r="O83" s="131"/>
      <c r="P83" s="130"/>
      <c r="Q83" s="131"/>
      <c r="R83" s="131"/>
      <c r="S83" s="131"/>
      <c r="T83" s="132"/>
      <c r="U83" s="132"/>
    </row>
    <row r="84" spans="1:21" customFormat="1" ht="28" hidden="1">
      <c r="A84" s="66"/>
      <c r="B84" s="2" t="s">
        <v>271</v>
      </c>
      <c r="C84" s="153" t="s">
        <v>272</v>
      </c>
      <c r="D84" s="59">
        <v>865.6</v>
      </c>
      <c r="E84" s="5">
        <v>1205.2</v>
      </c>
      <c r="F84" s="5">
        <v>841.9</v>
      </c>
      <c r="G84" s="5">
        <v>214.7</v>
      </c>
      <c r="H84" s="59">
        <v>32.1</v>
      </c>
      <c r="I84" s="5">
        <v>53.9</v>
      </c>
      <c r="J84" s="5">
        <v>64.62</v>
      </c>
      <c r="K84" s="6">
        <v>96.78</v>
      </c>
      <c r="L84" s="5">
        <v>128.94</v>
      </c>
      <c r="M84" s="5">
        <v>161.1</v>
      </c>
      <c r="N84" s="5">
        <v>214.7</v>
      </c>
      <c r="O84" s="5">
        <v>214.7</v>
      </c>
      <c r="P84" s="59">
        <v>214.7</v>
      </c>
      <c r="Q84" s="5">
        <v>214.7</v>
      </c>
      <c r="R84" s="5">
        <v>214.7</v>
      </c>
      <c r="S84" s="5">
        <v>214.7</v>
      </c>
      <c r="T84" s="6">
        <v>214.7</v>
      </c>
      <c r="U84" s="6">
        <v>214.7</v>
      </c>
    </row>
    <row r="85" spans="1:21" customFormat="1" ht="14" hidden="1">
      <c r="A85" s="66"/>
      <c r="B85" s="193" t="s">
        <v>273</v>
      </c>
      <c r="C85" s="153" t="s">
        <v>224</v>
      </c>
      <c r="D85" s="59">
        <v>4085.9</v>
      </c>
      <c r="E85" s="5">
        <v>698.9</v>
      </c>
      <c r="F85" s="5">
        <v>702.2</v>
      </c>
      <c r="G85" s="5">
        <v>194</v>
      </c>
      <c r="H85" s="59">
        <v>155.30000000000001</v>
      </c>
      <c r="I85" s="5">
        <v>36</v>
      </c>
      <c r="J85" s="5">
        <v>43.953333333333333</v>
      </c>
      <c r="K85" s="6">
        <v>67.813333333333333</v>
      </c>
      <c r="L85" s="5">
        <v>91.673333333333332</v>
      </c>
      <c r="M85" s="5">
        <v>115.53333333333333</v>
      </c>
      <c r="N85" s="5">
        <v>155.30000000000001</v>
      </c>
      <c r="O85" s="5">
        <v>155.30000000000001</v>
      </c>
      <c r="P85" s="59">
        <v>155.30000000000001</v>
      </c>
      <c r="Q85" s="5">
        <v>155.30000000000001</v>
      </c>
      <c r="R85" s="5">
        <v>155.30000000000001</v>
      </c>
      <c r="S85" s="5">
        <v>155.30000000000001</v>
      </c>
      <c r="T85" s="6">
        <v>155.30000000000001</v>
      </c>
      <c r="U85" s="6">
        <v>155.30000000000001</v>
      </c>
    </row>
    <row r="86" spans="1:21" customFormat="1" ht="14" hidden="1">
      <c r="A86" s="66"/>
      <c r="B86" s="193" t="s">
        <v>274</v>
      </c>
      <c r="C86" s="153" t="s">
        <v>266</v>
      </c>
      <c r="D86" s="59">
        <v>316.10000000000002</v>
      </c>
      <c r="E86" s="5">
        <v>90.6</v>
      </c>
      <c r="F86" s="5">
        <v>84</v>
      </c>
      <c r="G86" s="5">
        <v>107.5</v>
      </c>
      <c r="H86" s="59">
        <v>144.4</v>
      </c>
      <c r="I86" s="5">
        <v>177.3</v>
      </c>
      <c r="J86" s="5">
        <v>186.55333333333334</v>
      </c>
      <c r="K86" s="6">
        <v>232.82000000000002</v>
      </c>
      <c r="L86" s="5">
        <v>316.10000000000002</v>
      </c>
      <c r="M86" s="5">
        <v>413.25</v>
      </c>
      <c r="N86" s="5">
        <v>510.4</v>
      </c>
      <c r="O86" s="5">
        <v>510.4</v>
      </c>
      <c r="P86" s="59">
        <v>510.4</v>
      </c>
      <c r="Q86" s="5">
        <v>510.4</v>
      </c>
      <c r="R86" s="5">
        <v>510.4</v>
      </c>
      <c r="S86" s="5">
        <v>510.4</v>
      </c>
      <c r="T86" s="6">
        <v>510.4</v>
      </c>
      <c r="U86" s="6">
        <v>510.4</v>
      </c>
    </row>
    <row r="87" spans="1:21" customFormat="1" ht="28" hidden="1">
      <c r="A87" s="129" t="s">
        <v>92</v>
      </c>
      <c r="B87" s="192" t="s">
        <v>93</v>
      </c>
      <c r="C87" s="171"/>
      <c r="D87" s="130"/>
      <c r="E87" s="131"/>
      <c r="F87" s="131"/>
      <c r="G87" s="131"/>
      <c r="H87" s="130"/>
      <c r="I87" s="131"/>
      <c r="J87" s="131"/>
      <c r="K87" s="132"/>
      <c r="L87" s="131"/>
      <c r="M87" s="131"/>
      <c r="N87" s="131"/>
      <c r="O87" s="131"/>
      <c r="P87" s="130"/>
      <c r="Q87" s="131"/>
      <c r="R87" s="131"/>
      <c r="S87" s="131"/>
      <c r="T87" s="132"/>
      <c r="U87" s="132"/>
    </row>
    <row r="88" spans="1:21" customFormat="1" ht="14" hidden="1">
      <c r="A88" s="66"/>
      <c r="B88" s="2" t="s">
        <v>275</v>
      </c>
      <c r="C88" s="153" t="s">
        <v>272</v>
      </c>
      <c r="D88" s="59">
        <v>16.899999999999999</v>
      </c>
      <c r="E88" s="5">
        <v>22.1</v>
      </c>
      <c r="F88" s="5">
        <v>15.9</v>
      </c>
      <c r="G88" s="5">
        <v>10.3</v>
      </c>
      <c r="H88" s="59">
        <v>25.3</v>
      </c>
      <c r="I88" s="5">
        <v>31</v>
      </c>
      <c r="J88" s="5">
        <v>25.830000000000002</v>
      </c>
      <c r="K88" s="6">
        <v>26.346600000000002</v>
      </c>
      <c r="L88" s="5">
        <v>26.873532000000001</v>
      </c>
      <c r="M88" s="5">
        <v>27.41100264</v>
      </c>
      <c r="N88" s="5">
        <v>27.685112666399998</v>
      </c>
      <c r="O88" s="5">
        <v>27.685112666399998</v>
      </c>
      <c r="P88" s="59">
        <v>27.685112666399998</v>
      </c>
      <c r="Q88" s="5">
        <v>27.685112666399998</v>
      </c>
      <c r="R88" s="5">
        <v>27.685112666399998</v>
      </c>
      <c r="S88" s="5">
        <v>27.685112666399998</v>
      </c>
      <c r="T88" s="6">
        <v>27.685112666399998</v>
      </c>
      <c r="U88" s="6">
        <v>27.685112666399998</v>
      </c>
    </row>
    <row r="89" spans="1:21" customFormat="1" ht="28" hidden="1">
      <c r="A89" s="67"/>
      <c r="B89" s="7" t="s">
        <v>276</v>
      </c>
      <c r="C89" s="154" t="s">
        <v>277</v>
      </c>
      <c r="D89" s="60">
        <v>41941</v>
      </c>
      <c r="E89" s="10">
        <v>58403</v>
      </c>
      <c r="F89" s="10">
        <v>22751</v>
      </c>
      <c r="G89" s="10">
        <v>4542</v>
      </c>
      <c r="H89" s="60">
        <v>9825</v>
      </c>
      <c r="I89" s="10">
        <v>5808</v>
      </c>
      <c r="J89" s="10">
        <v>6970</v>
      </c>
      <c r="K89" s="11">
        <v>7483</v>
      </c>
      <c r="L89" s="10">
        <v>8330</v>
      </c>
      <c r="M89" s="10">
        <v>9954</v>
      </c>
      <c r="N89" s="10">
        <v>11172</v>
      </c>
      <c r="O89" s="10">
        <v>11172</v>
      </c>
      <c r="P89" s="60">
        <v>11172</v>
      </c>
      <c r="Q89" s="10">
        <v>11172</v>
      </c>
      <c r="R89" s="10">
        <v>11172</v>
      </c>
      <c r="S89" s="10">
        <v>11172</v>
      </c>
      <c r="T89" s="11">
        <v>11172</v>
      </c>
      <c r="U89" s="11">
        <v>11172</v>
      </c>
    </row>
    <row r="90" spans="1:21" customFormat="1" ht="14" hidden="1">
      <c r="A90" s="129" t="s">
        <v>94</v>
      </c>
      <c r="B90" s="192" t="s">
        <v>95</v>
      </c>
      <c r="C90" s="171"/>
      <c r="D90" s="130"/>
      <c r="E90" s="131"/>
      <c r="F90" s="131"/>
      <c r="G90" s="131"/>
      <c r="H90" s="130"/>
      <c r="I90" s="131"/>
      <c r="J90" s="131"/>
      <c r="K90" s="132"/>
      <c r="L90" s="131"/>
      <c r="M90" s="131"/>
      <c r="N90" s="131"/>
      <c r="O90" s="131"/>
      <c r="P90" s="130"/>
      <c r="Q90" s="131"/>
      <c r="R90" s="131"/>
      <c r="S90" s="131"/>
      <c r="T90" s="132"/>
      <c r="U90" s="132"/>
    </row>
    <row r="91" spans="1:21" customFormat="1" ht="28" hidden="1">
      <c r="A91" s="66"/>
      <c r="B91" s="2" t="s">
        <v>278</v>
      </c>
      <c r="C91" s="153" t="s">
        <v>224</v>
      </c>
      <c r="D91" s="59">
        <v>6631.6</v>
      </c>
      <c r="E91" s="5">
        <v>7603.5</v>
      </c>
      <c r="F91" s="5">
        <v>6507.8</v>
      </c>
      <c r="G91" s="5">
        <v>7803.1</v>
      </c>
      <c r="H91" s="59">
        <v>8418.2999999999993</v>
      </c>
      <c r="I91" s="5">
        <v>9077.7000000000007</v>
      </c>
      <c r="J91" s="5">
        <v>11836</v>
      </c>
      <c r="K91" s="6">
        <v>12073</v>
      </c>
      <c r="L91" s="5">
        <v>12315</v>
      </c>
      <c r="M91" s="5">
        <v>12561</v>
      </c>
      <c r="N91" s="5">
        <v>12812</v>
      </c>
      <c r="O91" s="5">
        <v>12812</v>
      </c>
      <c r="P91" s="59">
        <v>12812</v>
      </c>
      <c r="Q91" s="5">
        <v>12812</v>
      </c>
      <c r="R91" s="5">
        <v>12812</v>
      </c>
      <c r="S91" s="5">
        <v>12812</v>
      </c>
      <c r="T91" s="6">
        <v>12812</v>
      </c>
      <c r="U91" s="6">
        <v>12812</v>
      </c>
    </row>
    <row r="92" spans="1:21" customFormat="1" ht="14" hidden="1">
      <c r="A92" s="67"/>
      <c r="B92" s="7" t="s">
        <v>279</v>
      </c>
      <c r="C92" s="154" t="s">
        <v>224</v>
      </c>
      <c r="D92" s="60">
        <v>800.7</v>
      </c>
      <c r="E92" s="10">
        <v>798.1</v>
      </c>
      <c r="F92" s="10">
        <v>5404.5</v>
      </c>
      <c r="G92" s="10">
        <v>4197.6000000000004</v>
      </c>
      <c r="H92" s="60">
        <v>4482.5</v>
      </c>
      <c r="I92" s="10">
        <v>3717.8</v>
      </c>
      <c r="J92" s="10">
        <v>3903.69</v>
      </c>
      <c r="K92" s="11">
        <v>4294.0590000000002</v>
      </c>
      <c r="L92" s="10">
        <v>4723.4648999999999</v>
      </c>
      <c r="M92" s="10">
        <v>5195.8113899999998</v>
      </c>
      <c r="N92" s="10">
        <v>5871.2668707000003</v>
      </c>
      <c r="O92" s="10">
        <v>5871.2668707000003</v>
      </c>
      <c r="P92" s="60">
        <v>5871.2668707000003</v>
      </c>
      <c r="Q92" s="10">
        <v>5871.2668707000003</v>
      </c>
      <c r="R92" s="10">
        <v>5871.2668707000003</v>
      </c>
      <c r="S92" s="10">
        <v>5871.2668707000003</v>
      </c>
      <c r="T92" s="11">
        <v>5871.2668707000003</v>
      </c>
      <c r="U92" s="11">
        <v>5871.2668707000003</v>
      </c>
    </row>
    <row r="93" spans="1:21" customFormat="1" ht="14" hidden="1">
      <c r="A93" s="129" t="s">
        <v>96</v>
      </c>
      <c r="B93" s="192" t="s">
        <v>97</v>
      </c>
      <c r="C93" s="171"/>
      <c r="D93" s="130"/>
      <c r="E93" s="131"/>
      <c r="F93" s="131"/>
      <c r="G93" s="131"/>
      <c r="H93" s="130"/>
      <c r="I93" s="131"/>
      <c r="J93" s="131"/>
      <c r="K93" s="132"/>
      <c r="L93" s="131"/>
      <c r="M93" s="131"/>
      <c r="N93" s="131"/>
      <c r="O93" s="131"/>
      <c r="P93" s="130"/>
      <c r="Q93" s="131"/>
      <c r="R93" s="131"/>
      <c r="S93" s="131"/>
      <c r="T93" s="132"/>
      <c r="U93" s="132"/>
    </row>
    <row r="94" spans="1:21" customFormat="1" ht="28" hidden="1">
      <c r="A94" s="66"/>
      <c r="B94" s="2" t="s">
        <v>280</v>
      </c>
      <c r="C94" s="153" t="s">
        <v>50</v>
      </c>
      <c r="D94" s="59">
        <v>132014.29999999999</v>
      </c>
      <c r="E94" s="5">
        <v>118301.8</v>
      </c>
      <c r="F94" s="5">
        <v>95405.7</v>
      </c>
      <c r="G94" s="5">
        <v>72100</v>
      </c>
      <c r="H94" s="59">
        <v>70544.899999999994</v>
      </c>
      <c r="I94" s="5">
        <v>48404.4</v>
      </c>
      <c r="J94" s="5">
        <v>54212.928</v>
      </c>
      <c r="K94" s="6">
        <v>61260.608639999999</v>
      </c>
      <c r="L94" s="5">
        <v>67386.669504000005</v>
      </c>
      <c r="M94" s="5">
        <v>76820.803234560008</v>
      </c>
      <c r="N94" s="5">
        <v>80661.843396288008</v>
      </c>
      <c r="O94" s="5">
        <v>80661.843396288008</v>
      </c>
      <c r="P94" s="59">
        <v>80661.843396288008</v>
      </c>
      <c r="Q94" s="5">
        <v>80661.843396288008</v>
      </c>
      <c r="R94" s="5">
        <v>80661.843396288008</v>
      </c>
      <c r="S94" s="5">
        <v>80661.843396288008</v>
      </c>
      <c r="T94" s="6">
        <v>80661.843396288008</v>
      </c>
      <c r="U94" s="6">
        <v>80661.843396288008</v>
      </c>
    </row>
    <row r="95" spans="1:21" customFormat="1" ht="42" hidden="1">
      <c r="A95" s="67"/>
      <c r="B95" s="196" t="s">
        <v>281</v>
      </c>
      <c r="C95" s="154" t="s">
        <v>50</v>
      </c>
      <c r="D95" s="60">
        <v>58956.6</v>
      </c>
      <c r="E95" s="10">
        <v>27309.9</v>
      </c>
      <c r="F95" s="10">
        <v>8633.2999999999993</v>
      </c>
      <c r="G95" s="10">
        <v>7900</v>
      </c>
      <c r="H95" s="60">
        <v>7060.9</v>
      </c>
      <c r="I95" s="10">
        <v>1841</v>
      </c>
      <c r="J95" s="10">
        <v>1960</v>
      </c>
      <c r="K95" s="11">
        <v>2646</v>
      </c>
      <c r="L95" s="10">
        <v>3572.1</v>
      </c>
      <c r="M95" s="10">
        <v>4643.7299999999996</v>
      </c>
      <c r="N95" s="10">
        <v>5572.4759999999997</v>
      </c>
      <c r="O95" s="10">
        <v>5572.4759999999997</v>
      </c>
      <c r="P95" s="60">
        <v>5572.4759999999997</v>
      </c>
      <c r="Q95" s="10">
        <v>5572.4759999999997</v>
      </c>
      <c r="R95" s="10">
        <v>5572.4759999999997</v>
      </c>
      <c r="S95" s="10">
        <v>5572.4759999999997</v>
      </c>
      <c r="T95" s="11">
        <v>5572.4759999999997</v>
      </c>
      <c r="U95" s="11">
        <v>5572.4759999999997</v>
      </c>
    </row>
    <row r="96" spans="1:21" customFormat="1" ht="14">
      <c r="A96" s="182" t="s">
        <v>98</v>
      </c>
      <c r="B96" s="199" t="s">
        <v>99</v>
      </c>
      <c r="C96" s="183"/>
      <c r="D96" s="184"/>
      <c r="E96" s="185"/>
      <c r="F96" s="185"/>
      <c r="G96" s="185"/>
      <c r="H96" s="184"/>
      <c r="I96" s="185"/>
      <c r="J96" s="185"/>
      <c r="K96" s="186"/>
      <c r="L96" s="185"/>
      <c r="M96" s="185"/>
      <c r="N96" s="185"/>
      <c r="O96" s="185"/>
      <c r="P96" s="184"/>
      <c r="Q96" s="185"/>
      <c r="R96" s="185"/>
      <c r="S96" s="185"/>
      <c r="T96" s="186"/>
      <c r="U96" s="186"/>
    </row>
    <row r="97" spans="1:21" customFormat="1" ht="14">
      <c r="A97" s="66"/>
      <c r="B97" s="2" t="s">
        <v>282</v>
      </c>
      <c r="C97" s="153" t="s">
        <v>202</v>
      </c>
      <c r="D97" s="59">
        <v>6126.7999999999993</v>
      </c>
      <c r="E97" s="5">
        <v>6923.0999999999995</v>
      </c>
      <c r="F97" s="5">
        <v>6835.1</v>
      </c>
      <c r="G97" s="5">
        <v>5547.9000000000005</v>
      </c>
      <c r="H97" s="59">
        <v>5266.0000000000009</v>
      </c>
      <c r="I97" s="5">
        <f>[4]OILPROC!AD7</f>
        <v>5543.7525000000005</v>
      </c>
      <c r="J97" s="5">
        <f>[4]OILPROC!AE7</f>
        <v>5660.7639999999992</v>
      </c>
      <c r="K97" s="6">
        <f>[4]OILPROC!AF7</f>
        <v>5414.1</v>
      </c>
      <c r="L97" s="5">
        <f>[4]OILPROC!AG7</f>
        <v>6220.59</v>
      </c>
      <c r="M97" s="5">
        <f>[4]OILPROC!AH7</f>
        <v>5810.3000000000011</v>
      </c>
      <c r="N97" s="5">
        <f>[4]OILPROC!AI7</f>
        <v>5996.6370000000006</v>
      </c>
      <c r="O97" s="5">
        <f>[4]OILPROC!AJ7</f>
        <v>5331.7919999999995</v>
      </c>
      <c r="P97" s="59">
        <f>[4]OILPROC!AK7</f>
        <v>5944.8580000000011</v>
      </c>
      <c r="Q97" s="5">
        <f>[4]OILPROC!AL7</f>
        <v>5610.6759999999995</v>
      </c>
      <c r="R97" s="5">
        <f>[4]OILPROC!AM7</f>
        <v>6093.0449999999983</v>
      </c>
      <c r="S97" s="5">
        <f>[4]OILPROC!AN7</f>
        <v>5610.6759999999995</v>
      </c>
      <c r="T97" s="6">
        <f>[4]OILPROC!AO7</f>
        <v>6093.0449999999983</v>
      </c>
      <c r="U97" s="6">
        <f>[4]OILPROC!AP7</f>
        <v>6093.0449999999983</v>
      </c>
    </row>
    <row r="98" spans="1:21" customFormat="1" ht="14">
      <c r="A98" s="66"/>
      <c r="B98" s="191" t="s">
        <v>283</v>
      </c>
      <c r="C98" s="153" t="s">
        <v>202</v>
      </c>
      <c r="D98" s="59">
        <v>1407.1</v>
      </c>
      <c r="E98" s="5">
        <v>1238.3</v>
      </c>
      <c r="F98" s="5">
        <v>1223.9000000000001</v>
      </c>
      <c r="G98" s="5">
        <v>1139.5999999999999</v>
      </c>
      <c r="H98" s="59">
        <v>1215.2</v>
      </c>
      <c r="I98" s="5">
        <f>[4]OILPROC!AD8</f>
        <v>1185.5999999999999</v>
      </c>
      <c r="J98" s="5">
        <f>[4]OILPROC!AE8</f>
        <v>1161.4000000000001</v>
      </c>
      <c r="K98" s="6">
        <f>[4]OILPROC!AF8</f>
        <v>1166.76</v>
      </c>
      <c r="L98" s="5">
        <f>[4]OILPROC!AG8</f>
        <v>1265.52</v>
      </c>
      <c r="M98" s="5">
        <f>[4]OILPROC!AH8</f>
        <v>1282.75</v>
      </c>
      <c r="N98" s="5">
        <f>[4]OILPROC!AI8</f>
        <v>1464.35</v>
      </c>
      <c r="O98" s="5">
        <f>[4]OILPROC!AJ8</f>
        <v>1248.4519999999998</v>
      </c>
      <c r="P98" s="59">
        <f>[4]OILPROC!AK8</f>
        <v>1468.4090000000001</v>
      </c>
      <c r="Q98" s="5">
        <f>[4]OILPROC!AL8</f>
        <v>1430.614</v>
      </c>
      <c r="R98" s="5">
        <f>[4]OILPROC!AM8</f>
        <v>1588.8630000000001</v>
      </c>
      <c r="S98" s="5">
        <f>[4]OILPROC!AN8</f>
        <v>1430.614</v>
      </c>
      <c r="T98" s="6">
        <f>[4]OILPROC!AO8</f>
        <v>1588.8630000000001</v>
      </c>
      <c r="U98" s="6">
        <f>[4]OILPROC!AP8</f>
        <v>1588.8630000000001</v>
      </c>
    </row>
    <row r="99" spans="1:21" customFormat="1" ht="14">
      <c r="A99" s="66"/>
      <c r="B99" s="191" t="s">
        <v>284</v>
      </c>
      <c r="C99" s="153" t="s">
        <v>202</v>
      </c>
      <c r="D99" s="59">
        <v>107.4</v>
      </c>
      <c r="E99" s="5">
        <v>204</v>
      </c>
      <c r="F99" s="5">
        <v>195.3</v>
      </c>
      <c r="G99" s="5">
        <v>173.6</v>
      </c>
      <c r="H99" s="59">
        <v>168.4</v>
      </c>
      <c r="I99" s="5">
        <f>[4]OILPROC!AD9</f>
        <v>204.6</v>
      </c>
      <c r="J99" s="5">
        <f>[4]OILPROC!AE9</f>
        <v>246.8</v>
      </c>
      <c r="K99" s="6">
        <f>[4]OILPROC!AF9</f>
        <v>217.06</v>
      </c>
      <c r="L99" s="5">
        <f>[4]OILPROC!AG9</f>
        <v>377.76</v>
      </c>
      <c r="M99" s="5">
        <f>[4]OILPROC!AH9</f>
        <v>275.56</v>
      </c>
      <c r="N99" s="5">
        <f>[4]OILPROC!AI9</f>
        <v>267.72700000000003</v>
      </c>
      <c r="O99" s="5">
        <f>[4]OILPROC!AJ9</f>
        <v>191.27200000000002</v>
      </c>
      <c r="P99" s="59">
        <f>[4]OILPROC!AK9</f>
        <v>167.21600000000001</v>
      </c>
      <c r="Q99" s="5">
        <f>[4]OILPROC!AL9</f>
        <v>159.92500000000001</v>
      </c>
      <c r="R99" s="5">
        <f>[4]OILPROC!AM9</f>
        <v>160.6</v>
      </c>
      <c r="S99" s="5">
        <f>[4]OILPROC!AN9</f>
        <v>159.92500000000001</v>
      </c>
      <c r="T99" s="6">
        <f>[4]OILPROC!AO9</f>
        <v>160.6</v>
      </c>
      <c r="U99" s="6">
        <f>[4]OILPROC!AP9</f>
        <v>160.6</v>
      </c>
    </row>
    <row r="100" spans="1:21" customFormat="1" ht="14">
      <c r="A100" s="66"/>
      <c r="B100" s="191" t="s">
        <v>285</v>
      </c>
      <c r="C100" s="153" t="s">
        <v>202</v>
      </c>
      <c r="D100" s="59">
        <v>2495.4</v>
      </c>
      <c r="E100" s="5">
        <v>2946.2</v>
      </c>
      <c r="F100" s="5">
        <v>2803.7</v>
      </c>
      <c r="G100" s="5">
        <v>1881.9</v>
      </c>
      <c r="H100" s="59">
        <v>1849.2</v>
      </c>
      <c r="I100" s="5">
        <f>[4]OILPROC!AD10</f>
        <v>1921.8</v>
      </c>
      <c r="J100" s="5">
        <f>[4]OILPROC!AE10</f>
        <v>2080.21</v>
      </c>
      <c r="K100" s="6">
        <f>[4]OILPROC!AF10</f>
        <v>2032.32</v>
      </c>
      <c r="L100" s="5">
        <f>[4]OILPROC!AG10</f>
        <v>2395.84</v>
      </c>
      <c r="M100" s="5">
        <f>[4]OILPROC!AH10</f>
        <v>2040.06</v>
      </c>
      <c r="N100" s="5">
        <f>[4]OILPROC!AI10</f>
        <v>2311.38</v>
      </c>
      <c r="O100" s="5">
        <f>[4]OILPROC!AJ10</f>
        <v>2060.585</v>
      </c>
      <c r="P100" s="59">
        <f>[4]OILPROC!AK10</f>
        <v>2446.5360000000001</v>
      </c>
      <c r="Q100" s="5">
        <f>[4]OILPROC!AL10</f>
        <v>2306.1329999999998</v>
      </c>
      <c r="R100" s="5">
        <f>[4]OILPROC!AM10</f>
        <v>2529.288</v>
      </c>
      <c r="S100" s="5">
        <f>[4]OILPROC!AN10</f>
        <v>2306.1329999999998</v>
      </c>
      <c r="T100" s="6">
        <f>[4]OILPROC!AO10</f>
        <v>2529.288</v>
      </c>
      <c r="U100" s="6">
        <f>[4]OILPROC!AP10</f>
        <v>2529.288</v>
      </c>
    </row>
    <row r="101" spans="1:21" customFormat="1" ht="14">
      <c r="A101" s="66"/>
      <c r="B101" s="191" t="s">
        <v>286</v>
      </c>
      <c r="C101" s="153" t="s">
        <v>202</v>
      </c>
      <c r="D101" s="59">
        <v>703.1</v>
      </c>
      <c r="E101" s="5">
        <v>709</v>
      </c>
      <c r="F101" s="5">
        <v>688.5</v>
      </c>
      <c r="G101" s="5">
        <v>627.29999999999995</v>
      </c>
      <c r="H101" s="59">
        <v>588</v>
      </c>
      <c r="I101" s="5">
        <f>[4]OILPROC!AD13</f>
        <v>617</v>
      </c>
      <c r="J101" s="5">
        <f>[4]OILPROC!AE13</f>
        <v>591.13</v>
      </c>
      <c r="K101" s="6">
        <f>[4]OILPROC!AF13</f>
        <v>502.24</v>
      </c>
      <c r="L101" s="5">
        <f>[4]OILPROC!AG13</f>
        <v>491.80000000000007</v>
      </c>
      <c r="M101" s="5">
        <f>[4]OILPROC!AH13</f>
        <v>563.66999999999996</v>
      </c>
      <c r="N101" s="5">
        <f>[4]OILPROC!AI13</f>
        <v>594.13099999999997</v>
      </c>
      <c r="O101" s="5">
        <f>[4]OILPROC!AJ13</f>
        <v>589.15899999999999</v>
      </c>
      <c r="P101" s="59">
        <f>[4]OILPROC!AK13</f>
        <v>609.33500000000004</v>
      </c>
      <c r="Q101" s="5">
        <f>[4]OILPROC!AL13</f>
        <v>572.76800000000003</v>
      </c>
      <c r="R101" s="5">
        <f>[4]OILPROC!AM13</f>
        <v>607.99900000000002</v>
      </c>
      <c r="S101" s="5">
        <f>[4]OILPROC!AN13</f>
        <v>572.76800000000003</v>
      </c>
      <c r="T101" s="6">
        <f>[4]OILPROC!AO13</f>
        <v>607.99900000000002</v>
      </c>
      <c r="U101" s="6">
        <f>[4]OILPROC!AP13</f>
        <v>607.99900000000002</v>
      </c>
    </row>
    <row r="102" spans="1:21" customFormat="1" ht="14">
      <c r="A102" s="66"/>
      <c r="B102" s="191" t="s">
        <v>287</v>
      </c>
      <c r="C102" s="153" t="s">
        <v>202</v>
      </c>
      <c r="D102" s="59">
        <v>285.2</v>
      </c>
      <c r="E102" s="5">
        <v>206.7</v>
      </c>
      <c r="F102" s="5">
        <v>324.3</v>
      </c>
      <c r="G102" s="5">
        <v>398.6</v>
      </c>
      <c r="H102" s="59">
        <v>236.1</v>
      </c>
      <c r="I102" s="5">
        <f>[4]OILPROC!AD14</f>
        <v>106.57</v>
      </c>
      <c r="J102" s="5">
        <f>[4]OILPROC!AE14</f>
        <v>126.46</v>
      </c>
      <c r="K102" s="6">
        <f>[4]OILPROC!AF14</f>
        <v>61.6</v>
      </c>
      <c r="L102" s="5">
        <f>[4]OILPROC!AG14</f>
        <v>106.25</v>
      </c>
      <c r="M102" s="5">
        <f>[4]OILPROC!AH14</f>
        <v>77.77</v>
      </c>
      <c r="N102" s="5">
        <f>[4]OILPROC!AI14</f>
        <v>4.74</v>
      </c>
      <c r="O102" s="5">
        <f>[4]OILPROC!AJ14</f>
        <v>26.672000000000001</v>
      </c>
      <c r="P102" s="59">
        <f>[4]OILPROC!AK14</f>
        <v>108.36199999999999</v>
      </c>
      <c r="Q102" s="5">
        <f>[4]OILPROC!AL14</f>
        <v>84.728999999999999</v>
      </c>
      <c r="R102" s="5">
        <f>[4]OILPROC!AM14</f>
        <v>80</v>
      </c>
      <c r="S102" s="5">
        <f>[4]OILPROC!AN14</f>
        <v>84.728999999999999</v>
      </c>
      <c r="T102" s="6">
        <f>[4]OILPROC!AO14</f>
        <v>80</v>
      </c>
      <c r="U102" s="6">
        <f>[4]OILPROC!AP14</f>
        <v>80</v>
      </c>
    </row>
    <row r="103" spans="1:21" customFormat="1" ht="14">
      <c r="A103" s="66"/>
      <c r="B103" s="191" t="s">
        <v>388</v>
      </c>
      <c r="C103" s="153" t="s">
        <v>202</v>
      </c>
      <c r="D103" s="59">
        <v>223</v>
      </c>
      <c r="E103" s="5">
        <v>251.9</v>
      </c>
      <c r="F103" s="5">
        <v>254.8</v>
      </c>
      <c r="G103" s="5">
        <v>206.6</v>
      </c>
      <c r="H103" s="59">
        <v>226.9</v>
      </c>
      <c r="I103" s="5">
        <f>[4]OILPROC!AD15</f>
        <v>243.95599999999999</v>
      </c>
      <c r="J103" s="5">
        <f>[4]OILPROC!AE15</f>
        <v>238.44</v>
      </c>
      <c r="K103" s="6">
        <f>[4]OILPROC!AF15</f>
        <v>196.92</v>
      </c>
      <c r="L103" s="5">
        <f>[4]OILPROC!AG15</f>
        <v>256.2</v>
      </c>
      <c r="M103" s="5">
        <f>[4]OILPROC!AH15</f>
        <v>209.57</v>
      </c>
      <c r="N103" s="5">
        <f>[4]OILPROC!AI15</f>
        <v>231.655</v>
      </c>
      <c r="O103" s="5">
        <f>[4]OILPROC!AJ15</f>
        <v>183.34100000000001</v>
      </c>
      <c r="P103" s="59">
        <f>[4]OILPROC!AK15</f>
        <v>181.33699999999999</v>
      </c>
      <c r="Q103" s="5">
        <f>[4]OILPROC!AL15</f>
        <v>141.755</v>
      </c>
      <c r="R103" s="5">
        <f>[4]OILPROC!AM15</f>
        <v>158.708</v>
      </c>
      <c r="S103" s="5">
        <f>[4]OILPROC!AN15</f>
        <v>141.755</v>
      </c>
      <c r="T103" s="6">
        <f>[4]OILPROC!AO15</f>
        <v>158.708</v>
      </c>
      <c r="U103" s="6">
        <f>[4]OILPROC!AP15</f>
        <v>158.708</v>
      </c>
    </row>
    <row r="104" spans="1:21" customFormat="1" ht="14">
      <c r="A104" s="66"/>
      <c r="B104" s="191" t="s">
        <v>288</v>
      </c>
      <c r="C104" s="153" t="s">
        <v>202</v>
      </c>
      <c r="D104" s="59">
        <v>312.7</v>
      </c>
      <c r="E104" s="5">
        <v>241.9</v>
      </c>
      <c r="F104" s="5">
        <v>171.8</v>
      </c>
      <c r="G104" s="5">
        <v>179.1</v>
      </c>
      <c r="H104" s="59">
        <v>237.1</v>
      </c>
      <c r="I104" s="5">
        <f>[4]OILPROC!AD17</f>
        <v>289.67</v>
      </c>
      <c r="J104" s="5">
        <f>[4]OILPROC!AE17</f>
        <v>260.08</v>
      </c>
      <c r="K104" s="6">
        <f>[4]OILPROC!AF17</f>
        <v>374.72</v>
      </c>
      <c r="L104" s="5">
        <f>[4]OILPROC!AG17</f>
        <v>362.2</v>
      </c>
      <c r="M104" s="5">
        <f>[4]OILPROC!AH17</f>
        <v>342.63</v>
      </c>
      <c r="N104" s="5">
        <f>[4]OILPROC!AI17</f>
        <v>277.81600000000003</v>
      </c>
      <c r="O104" s="5">
        <f>[4]OILPROC!AJ17</f>
        <v>264.952</v>
      </c>
      <c r="P104" s="59">
        <f>[4]OILPROC!AK17</f>
        <v>285.50200000000001</v>
      </c>
      <c r="Q104" s="5">
        <f>[4]OILPROC!AL17</f>
        <v>294.70999999999998</v>
      </c>
      <c r="R104" s="5">
        <f>[4]OILPROC!AM17</f>
        <v>302.17200000000003</v>
      </c>
      <c r="S104" s="5">
        <f>[4]OILPROC!AN17</f>
        <v>294.70999999999998</v>
      </c>
      <c r="T104" s="6">
        <f>[4]OILPROC!AO17</f>
        <v>302.17200000000003</v>
      </c>
      <c r="U104" s="6">
        <f>[4]OILPROC!AP17</f>
        <v>302.17200000000003</v>
      </c>
    </row>
    <row r="105" spans="1:21" customFormat="1" ht="14" hidden="1">
      <c r="A105" s="66"/>
      <c r="B105" s="191" t="s">
        <v>289</v>
      </c>
      <c r="C105" s="153" t="s">
        <v>202</v>
      </c>
      <c r="D105" s="59">
        <v>187.9</v>
      </c>
      <c r="E105" s="5">
        <v>106.1</v>
      </c>
      <c r="F105" s="5">
        <v>63.6</v>
      </c>
      <c r="G105" s="5">
        <v>68.400000000000006</v>
      </c>
      <c r="H105" s="59">
        <v>46.5</v>
      </c>
      <c r="I105" s="5">
        <f>[4]OILPROC!AD18</f>
        <v>34.75</v>
      </c>
      <c r="J105" s="5">
        <f>[4]OILPROC!AE18</f>
        <v>32.549999999999997</v>
      </c>
      <c r="K105" s="6">
        <f>[4]OILPROC!AF18</f>
        <v>36.31</v>
      </c>
      <c r="L105" s="5">
        <f>[4]OILPROC!AG18</f>
        <v>19.060000000000002</v>
      </c>
      <c r="M105" s="5">
        <f>[4]OILPROC!AH18</f>
        <v>0</v>
      </c>
      <c r="N105" s="5">
        <f>[4]OILPROC!AI18</f>
        <v>3.39</v>
      </c>
      <c r="O105" s="5">
        <f>[4]OILPROC!AJ18</f>
        <v>0</v>
      </c>
      <c r="P105" s="59">
        <f>[4]OILPROC!AK18</f>
        <v>0</v>
      </c>
      <c r="Q105" s="5">
        <f>[4]OILPROC!AL18</f>
        <v>0</v>
      </c>
      <c r="R105" s="5">
        <f>[4]OILPROC!AM18</f>
        <v>0</v>
      </c>
      <c r="S105" s="5">
        <f>[4]OILPROC!AN18</f>
        <v>0</v>
      </c>
      <c r="T105" s="6">
        <f>[4]OILPROC!AO18</f>
        <v>0</v>
      </c>
      <c r="U105" s="6">
        <f>[4]OILPROC!AP18</f>
        <v>0</v>
      </c>
    </row>
    <row r="106" spans="1:21" customFormat="1" ht="14" hidden="1">
      <c r="A106" s="66"/>
      <c r="B106" s="191" t="s">
        <v>290</v>
      </c>
      <c r="C106" s="153" t="s">
        <v>202</v>
      </c>
      <c r="D106" s="59">
        <v>47.2</v>
      </c>
      <c r="E106" s="5">
        <v>54.1</v>
      </c>
      <c r="F106" s="5">
        <v>25.7</v>
      </c>
      <c r="G106" s="5">
        <v>9.8000000000000007</v>
      </c>
      <c r="H106" s="59">
        <v>35</v>
      </c>
      <c r="I106" s="5">
        <f>[4]OILPROC!AD19</f>
        <v>50.93</v>
      </c>
      <c r="J106" s="5">
        <f>[4]OILPROC!AE19</f>
        <v>22.908999999999999</v>
      </c>
      <c r="K106" s="6">
        <f>[4]OILPROC!AF19</f>
        <v>23.22</v>
      </c>
      <c r="L106" s="5">
        <f>[4]OILPROC!AG19</f>
        <v>35.96</v>
      </c>
      <c r="M106" s="5">
        <f>[4]OILPROC!AH19</f>
        <v>12.49</v>
      </c>
      <c r="N106" s="5">
        <f>[4]OILPROC!AI19</f>
        <v>8.9239999999999995</v>
      </c>
      <c r="O106" s="5">
        <f>[4]OILPROC!AJ19</f>
        <v>12.178999999999998</v>
      </c>
      <c r="P106" s="59">
        <f>[4]OILPROC!AK19</f>
        <v>0</v>
      </c>
      <c r="Q106" s="5">
        <f>[4]OILPROC!AL19</f>
        <v>0</v>
      </c>
      <c r="R106" s="5">
        <f>[4]OILPROC!AM19</f>
        <v>0</v>
      </c>
      <c r="S106" s="5">
        <f>[4]OILPROC!AN19</f>
        <v>0</v>
      </c>
      <c r="T106" s="6">
        <f>[4]OILPROC!AO19</f>
        <v>0</v>
      </c>
      <c r="U106" s="6">
        <f>[4]OILPROC!AP19</f>
        <v>0</v>
      </c>
    </row>
    <row r="107" spans="1:21" customFormat="1" ht="14">
      <c r="A107" s="67"/>
      <c r="B107" s="200" t="s">
        <v>387</v>
      </c>
      <c r="C107" s="154" t="s">
        <v>202</v>
      </c>
      <c r="D107" s="60">
        <v>52.5</v>
      </c>
      <c r="E107" s="10">
        <v>57.2</v>
      </c>
      <c r="F107" s="10">
        <v>64.900000000000006</v>
      </c>
      <c r="G107" s="10">
        <v>59.3</v>
      </c>
      <c r="H107" s="60">
        <v>60.1</v>
      </c>
      <c r="I107" s="10">
        <f>[4]OILPROC!AD21</f>
        <v>53.6</v>
      </c>
      <c r="J107" s="10">
        <f>[4]OILPROC!AE21</f>
        <v>54.265000000000001</v>
      </c>
      <c r="K107" s="11">
        <f>[4]OILPROC!AF21</f>
        <v>49.98</v>
      </c>
      <c r="L107" s="10">
        <f>[4]OILPROC!AG21</f>
        <v>58.77</v>
      </c>
      <c r="M107" s="10">
        <f>[4]OILPROC!AH21</f>
        <v>49.2</v>
      </c>
      <c r="N107" s="10">
        <f>[4]OILPROC!AI21</f>
        <v>46.286999999999999</v>
      </c>
      <c r="O107" s="10">
        <f>[4]OILPROC!AJ21</f>
        <v>39.150000000000006</v>
      </c>
      <c r="P107" s="60">
        <f>[4]OILPROC!AK21</f>
        <v>66.658000000000001</v>
      </c>
      <c r="Q107" s="10">
        <f>[4]OILPROC!AL21</f>
        <v>72.123999999999995</v>
      </c>
      <c r="R107" s="10">
        <f>[4]OILPROC!AM21</f>
        <v>79.262</v>
      </c>
      <c r="S107" s="10">
        <f>[4]OILPROC!AN21</f>
        <v>72.123999999999995</v>
      </c>
      <c r="T107" s="11">
        <f>[4]OILPROC!AO21</f>
        <v>79.262</v>
      </c>
      <c r="U107" s="11">
        <f>[4]OILPROC!AP21</f>
        <v>79.262</v>
      </c>
    </row>
    <row r="108" spans="1:21" customFormat="1" ht="14">
      <c r="A108" s="129" t="s">
        <v>100</v>
      </c>
      <c r="B108" s="192" t="s">
        <v>101</v>
      </c>
      <c r="C108" s="171"/>
      <c r="D108" s="130"/>
      <c r="E108" s="131"/>
      <c r="F108" s="131"/>
      <c r="G108" s="131"/>
      <c r="H108" s="130"/>
      <c r="I108" s="131"/>
      <c r="J108" s="131"/>
      <c r="K108" s="132"/>
      <c r="L108" s="131"/>
      <c r="M108" s="131"/>
      <c r="N108" s="131"/>
      <c r="O108" s="131"/>
      <c r="P108" s="130"/>
      <c r="Q108" s="131"/>
      <c r="R108" s="131"/>
      <c r="S108" s="131"/>
      <c r="T108" s="132"/>
      <c r="U108" s="132"/>
    </row>
    <row r="109" spans="1:21" customFormat="1" ht="14">
      <c r="A109" s="66"/>
      <c r="B109" s="2" t="s">
        <v>291</v>
      </c>
      <c r="C109" s="153" t="s">
        <v>202</v>
      </c>
      <c r="D109" s="59">
        <v>40.799999999999997</v>
      </c>
      <c r="E109" s="5">
        <v>56.5</v>
      </c>
      <c r="F109" s="5">
        <v>56.4</v>
      </c>
      <c r="G109" s="5">
        <v>52.2</v>
      </c>
      <c r="H109" s="59">
        <v>48.4</v>
      </c>
      <c r="I109" s="5" t="e">
        <f>'[5]3.11. VAR'!#REF!</f>
        <v>#REF!</v>
      </c>
      <c r="J109" s="5" t="e">
        <f>'[5]3.11. VAR'!#REF!</f>
        <v>#REF!</v>
      </c>
      <c r="K109" s="6">
        <f>'[5]3.11. VAR'!T19</f>
        <v>97.549800000000005</v>
      </c>
      <c r="L109" s="5">
        <f>'[5]3.11. VAR'!U19</f>
        <v>136.99680000000001</v>
      </c>
      <c r="M109" s="5">
        <f>'[5]3.11. VAR'!V19</f>
        <v>128.73784000000001</v>
      </c>
      <c r="N109" s="5">
        <f>'[5]3.11. VAR'!W19</f>
        <v>152.38</v>
      </c>
      <c r="O109" s="5">
        <f>'[5]3.11. VAR'!X19</f>
        <v>120.66</v>
      </c>
      <c r="P109" s="59">
        <f>'[5]3.11. VAR'!Y19</f>
        <v>125.81777700000001</v>
      </c>
      <c r="Q109" s="5">
        <f>'[5]3.11. VAR'!Z19</f>
        <v>120.13214128</v>
      </c>
      <c r="R109" s="5">
        <f>'[5]3.11. VAR'!AA19</f>
        <v>125.01984213999999</v>
      </c>
      <c r="S109" s="5">
        <f>'[5]3.11. VAR'!AB19</f>
        <v>120.36767378</v>
      </c>
      <c r="T109" s="6">
        <f>'[5]3.11. VAR'!AC19</f>
        <v>124.49736214000001</v>
      </c>
      <c r="U109" s="6">
        <f>'[5]3.11. VAR'!AD19</f>
        <v>105.83499999999999</v>
      </c>
    </row>
    <row r="110" spans="1:21" customFormat="1" ht="14" hidden="1">
      <c r="A110" s="66"/>
      <c r="B110" s="2" t="s">
        <v>292</v>
      </c>
      <c r="C110" s="153" t="s">
        <v>202</v>
      </c>
      <c r="D110" s="59">
        <v>13.8</v>
      </c>
      <c r="E110" s="5">
        <v>10.6</v>
      </c>
      <c r="F110" s="5">
        <v>12.3</v>
      </c>
      <c r="G110" s="5">
        <v>8.9</v>
      </c>
      <c r="H110" s="59">
        <v>11.9</v>
      </c>
      <c r="I110" s="5">
        <v>7.3</v>
      </c>
      <c r="J110" s="5">
        <v>9.9999999999999995E-8</v>
      </c>
      <c r="K110" s="6">
        <v>9.9999999999999995E-8</v>
      </c>
      <c r="L110" s="5">
        <v>9.9999999999999995E-8</v>
      </c>
      <c r="M110" s="5">
        <v>9.9999999999999995E-8</v>
      </c>
      <c r="N110" s="5">
        <v>9.9999999999999995E-8</v>
      </c>
      <c r="O110" s="5">
        <v>9.9999999999999995E-8</v>
      </c>
      <c r="P110" s="59">
        <v>1.0000001000000001</v>
      </c>
      <c r="Q110" s="5">
        <v>1.0000001000000001</v>
      </c>
      <c r="R110" s="5">
        <v>2.0000000999999998</v>
      </c>
      <c r="S110" s="5">
        <v>3.0000000999999998</v>
      </c>
      <c r="T110" s="6">
        <v>4.0000001000000003</v>
      </c>
      <c r="U110" s="6">
        <v>5.0000001000000003</v>
      </c>
    </row>
    <row r="111" spans="1:21" customFormat="1" ht="29.25" customHeight="1">
      <c r="A111" s="66"/>
      <c r="B111" s="2" t="s">
        <v>399</v>
      </c>
      <c r="C111" s="153" t="s">
        <v>202</v>
      </c>
      <c r="D111" s="59">
        <v>76.2</v>
      </c>
      <c r="E111" s="5">
        <v>101</v>
      </c>
      <c r="F111" s="5">
        <v>103.5</v>
      </c>
      <c r="G111" s="5">
        <v>100.3</v>
      </c>
      <c r="H111" s="59">
        <v>93.2</v>
      </c>
      <c r="I111" s="5" t="e">
        <f>'[5]3.11. VAR'!#REF!</f>
        <v>#REF!</v>
      </c>
      <c r="J111" s="5" t="e">
        <f>'[5]3.11. VAR'!#REF!</f>
        <v>#REF!</v>
      </c>
      <c r="K111" s="6">
        <f>'[5]3.11. VAR'!T15</f>
        <v>131.42310000000001</v>
      </c>
      <c r="L111" s="5">
        <f>'[5]3.11. VAR'!U15</f>
        <v>163.27610000000001</v>
      </c>
      <c r="M111" s="5">
        <f>'[5]3.11. VAR'!V15</f>
        <v>134.29294200000001</v>
      </c>
      <c r="N111" s="5">
        <f>'[5]3.11. VAR'!W15</f>
        <v>162.77000000000001</v>
      </c>
      <c r="O111" s="5">
        <f>'[5]3.11. VAR'!X15</f>
        <v>121.71</v>
      </c>
      <c r="P111" s="59">
        <f>'[5]3.11. VAR'!Y15</f>
        <v>133.92184399999999</v>
      </c>
      <c r="Q111" s="5">
        <f>'[5]3.11. VAR'!Z15</f>
        <v>122.477</v>
      </c>
      <c r="R111" s="5">
        <f>'[5]3.11. VAR'!AA15</f>
        <v>123.521</v>
      </c>
      <c r="S111" s="5">
        <f>'[5]3.11. VAR'!AB15</f>
        <v>122.88</v>
      </c>
      <c r="T111" s="6">
        <f>'[5]3.11. VAR'!AC15</f>
        <v>122.50700000000001</v>
      </c>
      <c r="U111" s="6">
        <f>'[5]3.11. VAR'!AD15</f>
        <v>92.009785078868205</v>
      </c>
    </row>
    <row r="112" spans="1:21" customFormat="1" ht="28.5" hidden="1" customHeight="1">
      <c r="A112" s="66"/>
      <c r="B112" s="2" t="s">
        <v>389</v>
      </c>
      <c r="C112" s="153" t="s">
        <v>202</v>
      </c>
      <c r="D112" s="59">
        <v>0</v>
      </c>
      <c r="E112" s="5">
        <v>0</v>
      </c>
      <c r="F112" s="5">
        <v>0</v>
      </c>
      <c r="G112" s="5">
        <v>0</v>
      </c>
      <c r="H112" s="59">
        <v>0</v>
      </c>
      <c r="I112" s="5">
        <f>'[5]3.11. VAR'!R17</f>
        <v>188.91470000000001</v>
      </c>
      <c r="J112" s="5">
        <f>'[5]3.11. VAR'!S17</f>
        <v>383.01749999999998</v>
      </c>
      <c r="K112" s="6">
        <f>'[5]3.11. VAR'!T18</f>
        <v>130.39949999999999</v>
      </c>
      <c r="L112" s="5">
        <f>'[5]3.11. VAR'!U18</f>
        <v>177.16720000000001</v>
      </c>
      <c r="M112" s="5">
        <f>'[5]3.11. VAR'!V18</f>
        <v>133.50324000000001</v>
      </c>
      <c r="N112" s="5">
        <f>'[5]3.11. VAR'!W18</f>
        <v>149.09</v>
      </c>
      <c r="O112" s="5">
        <f>'[5]3.11. VAR'!X18</f>
        <v>119.48</v>
      </c>
      <c r="P112" s="59">
        <f>'[5]3.11. VAR'!Y18</f>
        <v>98.018513999999996</v>
      </c>
      <c r="Q112" s="5">
        <f>'[5]3.11. VAR'!Z18</f>
        <v>90.11184784999999</v>
      </c>
      <c r="R112" s="5">
        <f>'[5]3.11. VAR'!AA18</f>
        <v>91.058376075000012</v>
      </c>
      <c r="S112" s="5">
        <f>'[5]3.11. VAR'!AB18</f>
        <v>90.583604174999991</v>
      </c>
      <c r="T112" s="6">
        <f>'[5]3.11. VAR'!AC18</f>
        <v>90.015282075000016</v>
      </c>
      <c r="U112" s="6">
        <f>'[5]3.11. VAR'!AD18</f>
        <v>73.653000000000006</v>
      </c>
    </row>
    <row r="113" spans="1:21" customFormat="1" ht="14" hidden="1">
      <c r="A113" s="66"/>
      <c r="B113" s="2" t="s">
        <v>293</v>
      </c>
      <c r="C113" s="153" t="s">
        <v>202</v>
      </c>
      <c r="D113" s="59">
        <v>0</v>
      </c>
      <c r="E113" s="5">
        <v>0</v>
      </c>
      <c r="F113" s="5">
        <v>0</v>
      </c>
      <c r="G113" s="5">
        <v>0</v>
      </c>
      <c r="H113" s="59">
        <v>0</v>
      </c>
      <c r="I113" s="5">
        <v>0</v>
      </c>
      <c r="J113" s="5">
        <v>0</v>
      </c>
      <c r="K113" s="6">
        <v>0</v>
      </c>
      <c r="L113" s="5">
        <v>0</v>
      </c>
      <c r="M113" s="5">
        <v>0</v>
      </c>
      <c r="N113" s="5">
        <v>0</v>
      </c>
      <c r="O113" s="5">
        <v>0</v>
      </c>
      <c r="P113" s="59">
        <v>1</v>
      </c>
      <c r="Q113" s="5">
        <v>1</v>
      </c>
      <c r="R113" s="5">
        <v>2</v>
      </c>
      <c r="S113" s="5">
        <v>3</v>
      </c>
      <c r="T113" s="6">
        <v>4</v>
      </c>
      <c r="U113" s="6">
        <v>5</v>
      </c>
    </row>
    <row r="114" spans="1:21" customFormat="1" ht="14">
      <c r="A114" s="66"/>
      <c r="B114" s="2" t="s">
        <v>407</v>
      </c>
      <c r="C114" s="153" t="s">
        <v>202</v>
      </c>
      <c r="D114" s="59">
        <v>0</v>
      </c>
      <c r="E114" s="5">
        <v>0</v>
      </c>
      <c r="F114" s="5">
        <v>0</v>
      </c>
      <c r="G114" s="5">
        <v>0</v>
      </c>
      <c r="H114" s="59">
        <v>0</v>
      </c>
      <c r="I114" s="5">
        <f>'[5]3.11. VAR'!R18</f>
        <v>84.978399999999993</v>
      </c>
      <c r="J114" s="5">
        <f>'[5]3.11. VAR'!S18</f>
        <v>105.482</v>
      </c>
      <c r="K114" s="6">
        <f>'[5]3.11. VAR'!T16</f>
        <v>91.9709</v>
      </c>
      <c r="L114" s="5">
        <f>'[5]3.11. VAR'!U16</f>
        <v>136.71449999999999</v>
      </c>
      <c r="M114" s="5">
        <f>'[5]3.11. VAR'!V16</f>
        <v>127.67957</v>
      </c>
      <c r="N114" s="5">
        <f>'[5]3.11. VAR'!W16</f>
        <v>153.03</v>
      </c>
      <c r="O114" s="5">
        <f>'[5]3.11. VAR'!X16</f>
        <v>124.23</v>
      </c>
      <c r="P114" s="59">
        <f>'[5]3.11. VAR'!Y16</f>
        <v>124.54863800000001</v>
      </c>
      <c r="Q114" s="5">
        <f>'[5]3.11. VAR'!Z16</f>
        <v>125.455</v>
      </c>
      <c r="R114" s="5">
        <f>'[5]3.11. VAR'!AA16</f>
        <v>130.61500000000001</v>
      </c>
      <c r="S114" s="5">
        <f>'[5]3.11. VAR'!AB16</f>
        <v>125.762</v>
      </c>
      <c r="T114" s="6">
        <f>'[5]3.11. VAR'!AC16</f>
        <v>130.05000000000001</v>
      </c>
      <c r="U114" s="6">
        <f>'[5]3.11. VAR'!AD16</f>
        <v>109.51198240349011</v>
      </c>
    </row>
    <row r="115" spans="1:21" customFormat="1" ht="14" hidden="1">
      <c r="A115" s="66"/>
      <c r="B115" s="2" t="s">
        <v>390</v>
      </c>
      <c r="C115" s="153" t="s">
        <v>202</v>
      </c>
      <c r="D115" s="59">
        <v>5.4</v>
      </c>
      <c r="E115" s="5">
        <v>13</v>
      </c>
      <c r="F115" s="5">
        <v>6.9</v>
      </c>
      <c r="G115" s="5">
        <v>2.4</v>
      </c>
      <c r="H115" s="59">
        <v>3.4</v>
      </c>
      <c r="I115" s="5">
        <f>'[5]3.11. VAR'!R19</f>
        <v>56.176000000000002</v>
      </c>
      <c r="J115" s="5">
        <f>'[5]3.11. VAR'!S19</f>
        <v>87.550700000000006</v>
      </c>
      <c r="K115" s="6" t="e">
        <f>'[5]3.11. VAR'!#REF!</f>
        <v>#REF!</v>
      </c>
      <c r="L115" s="5" t="e">
        <f>'[5]3.11. VAR'!#REF!</f>
        <v>#REF!</v>
      </c>
      <c r="M115" s="5" t="e">
        <f>'[5]3.11. VAR'!#REF!</f>
        <v>#REF!</v>
      </c>
      <c r="N115" s="5" t="e">
        <f>'[5]3.11. VAR'!#REF!</f>
        <v>#REF!</v>
      </c>
      <c r="O115" s="5" t="e">
        <f>'[5]3.11. VAR'!#REF!</f>
        <v>#REF!</v>
      </c>
      <c r="P115" s="59" t="e">
        <f>'[5]3.11. VAR'!#REF!</f>
        <v>#REF!</v>
      </c>
      <c r="Q115" s="5" t="e">
        <f>'[5]3.11. VAR'!#REF!</f>
        <v>#REF!</v>
      </c>
      <c r="R115" s="5" t="e">
        <f>'[5]3.11. VAR'!#REF!</f>
        <v>#REF!</v>
      </c>
      <c r="S115" s="5" t="e">
        <f>'[5]3.11. VAR'!#REF!</f>
        <v>#REF!</v>
      </c>
      <c r="T115" s="6" t="e">
        <f>'[5]3.11. VAR'!#REF!</f>
        <v>#REF!</v>
      </c>
      <c r="U115" s="6" t="e">
        <f>'[5]3.11. VAR'!#REF!</f>
        <v>#REF!</v>
      </c>
    </row>
    <row r="116" spans="1:21" customFormat="1" ht="28" hidden="1">
      <c r="A116" s="70"/>
      <c r="B116" s="2" t="s">
        <v>294</v>
      </c>
      <c r="C116" s="153" t="s">
        <v>202</v>
      </c>
      <c r="D116" s="59">
        <v>4.0999999999999996</v>
      </c>
      <c r="E116" s="5">
        <v>3.3</v>
      </c>
      <c r="F116" s="5">
        <v>4.5</v>
      </c>
      <c r="G116" s="5">
        <v>6.9535</v>
      </c>
      <c r="H116" s="59">
        <v>8.9818999999999996</v>
      </c>
      <c r="I116" s="5">
        <f>'[5]3.11. VAR'!R21</f>
        <v>8.1999999999999993</v>
      </c>
      <c r="J116" s="5">
        <f>'[5]3.11. VAR'!S21</f>
        <v>90.7</v>
      </c>
      <c r="K116" s="6">
        <f>'[5]3.11. VAR'!T21</f>
        <v>158.4</v>
      </c>
      <c r="L116" s="5">
        <f>'[5]3.11. VAR'!U21</f>
        <v>40.700000000000003</v>
      </c>
      <c r="M116" s="5">
        <f>'[5]3.11. VAR'!V21</f>
        <v>15.7</v>
      </c>
      <c r="N116" s="5">
        <f>'[5]3.11. VAR'!W21</f>
        <v>73.349999999999994</v>
      </c>
      <c r="O116" s="5">
        <f>'[5]3.11. VAR'!X21</f>
        <v>38.78</v>
      </c>
      <c r="P116" s="59">
        <f>'[5]3.11. VAR'!Y21</f>
        <v>65.55</v>
      </c>
      <c r="Q116" s="5">
        <f>'[5]3.11. VAR'!Z21</f>
        <v>65.55</v>
      </c>
      <c r="R116" s="5">
        <f>'[5]3.11. VAR'!AA21</f>
        <v>65.55</v>
      </c>
      <c r="S116" s="5">
        <f>'[5]3.11. VAR'!AB21</f>
        <v>65.55</v>
      </c>
      <c r="T116" s="6">
        <f>'[5]3.11. VAR'!AC21</f>
        <v>65.55</v>
      </c>
      <c r="U116" s="6">
        <f>'[5]3.11. VAR'!AD21</f>
        <v>65.55</v>
      </c>
    </row>
    <row r="117" spans="1:21" customFormat="1" ht="14">
      <c r="A117" s="70"/>
      <c r="B117" s="2" t="s">
        <v>396</v>
      </c>
      <c r="C117" s="153" t="s">
        <v>202</v>
      </c>
      <c r="D117" s="59">
        <v>0</v>
      </c>
      <c r="E117" s="5">
        <v>0</v>
      </c>
      <c r="F117" s="5">
        <v>0</v>
      </c>
      <c r="G117" s="5">
        <v>7.6</v>
      </c>
      <c r="H117" s="59">
        <v>265.8</v>
      </c>
      <c r="I117" s="5" t="e">
        <f>'[5]3.11. VAR'!#REF!</f>
        <v>#REF!</v>
      </c>
      <c r="J117" s="5" t="e">
        <f>'[5]3.11. VAR'!#REF!</f>
        <v>#REF!</v>
      </c>
      <c r="K117" s="6">
        <f>'[5]3.11. VAR'!T17</f>
        <v>476.63729999999998</v>
      </c>
      <c r="L117" s="5">
        <f>'[5]3.11. VAR'!U17</f>
        <v>378.05599999999998</v>
      </c>
      <c r="M117" s="5">
        <f>'[5]3.11. VAR'!V17</f>
        <v>534.5</v>
      </c>
      <c r="N117" s="5">
        <f>'[5]3.11. VAR'!W17</f>
        <v>494.59</v>
      </c>
      <c r="O117" s="5">
        <f>'[5]3.11. VAR'!X17</f>
        <v>516.51</v>
      </c>
      <c r="P117" s="59">
        <f>'[5]3.11. VAR'!Y17</f>
        <v>447.45800000000003</v>
      </c>
      <c r="Q117" s="5">
        <f>'[5]3.11. VAR'!Z17</f>
        <v>480.572</v>
      </c>
      <c r="R117" s="5">
        <f>'[5]3.11. VAR'!AA17</f>
        <v>480.572</v>
      </c>
      <c r="S117" s="5">
        <f>'[5]3.11. VAR'!AB17</f>
        <v>516.12</v>
      </c>
      <c r="T117" s="6">
        <f>'[5]3.11. VAR'!AC17</f>
        <v>516.12</v>
      </c>
      <c r="U117" s="6">
        <f>'[5]3.11. VAR'!AD17</f>
        <v>480.572</v>
      </c>
    </row>
    <row r="118" spans="1:21" customFormat="1" ht="14">
      <c r="A118" s="70"/>
      <c r="B118" s="2" t="s">
        <v>295</v>
      </c>
      <c r="C118" s="153" t="s">
        <v>202</v>
      </c>
      <c r="D118" s="59">
        <v>0</v>
      </c>
      <c r="E118" s="5">
        <v>0</v>
      </c>
      <c r="F118" s="5">
        <v>0</v>
      </c>
      <c r="G118" s="5">
        <v>0</v>
      </c>
      <c r="H118" s="59">
        <v>0</v>
      </c>
      <c r="I118" s="5" t="e">
        <f>'[5]3.11. VAR'!#REF!</f>
        <v>#REF!</v>
      </c>
      <c r="J118" s="5" t="e">
        <f>'[5]3.11. VAR'!#REF!</f>
        <v>#REF!</v>
      </c>
      <c r="K118" s="6">
        <f>'[5]3.11. VAR'!T22</f>
        <v>165.12130999999999</v>
      </c>
      <c r="L118" s="5">
        <f>'[5]3.11. VAR'!U22</f>
        <v>355.25400000000002</v>
      </c>
      <c r="M118" s="5">
        <f>'[5]3.11. VAR'!V22</f>
        <v>537.06600000000003</v>
      </c>
      <c r="N118" s="5">
        <f>'[5]3.11. VAR'!W22</f>
        <v>453.58</v>
      </c>
      <c r="O118" s="5">
        <f>'[5]3.11. VAR'!X22</f>
        <v>652.33000000000004</v>
      </c>
      <c r="P118" s="59">
        <f>'[5]3.11. VAR'!Y22</f>
        <v>592</v>
      </c>
      <c r="Q118" s="5">
        <f>'[5]3.11. VAR'!Z22</f>
        <v>615</v>
      </c>
      <c r="R118" s="5">
        <f>'[5]3.11. VAR'!AA22</f>
        <v>632.02200000000005</v>
      </c>
      <c r="S118" s="5">
        <f>'[5]3.11. VAR'!AB22</f>
        <v>615</v>
      </c>
      <c r="T118" s="6">
        <f>'[5]3.11. VAR'!AC22</f>
        <v>682.5</v>
      </c>
      <c r="U118" s="6">
        <f>'[5]3.11. VAR'!AD22</f>
        <v>600</v>
      </c>
    </row>
    <row r="119" spans="1:21" customFormat="1" ht="14" hidden="1">
      <c r="A119" s="71"/>
      <c r="B119" s="7" t="s">
        <v>296</v>
      </c>
      <c r="C119" s="154" t="s">
        <v>202</v>
      </c>
      <c r="D119" s="60">
        <v>59.2</v>
      </c>
      <c r="E119" s="10">
        <v>56.7</v>
      </c>
      <c r="F119" s="10">
        <v>61</v>
      </c>
      <c r="G119" s="10">
        <v>59.4</v>
      </c>
      <c r="H119" s="60">
        <v>69.8</v>
      </c>
      <c r="I119" s="10" t="e">
        <f>'[5]3.11. VAR'!#REF!</f>
        <v>#REF!</v>
      </c>
      <c r="J119" s="10" t="e">
        <f>'[5]3.11. VAR'!#REF!</f>
        <v>#REF!</v>
      </c>
      <c r="K119" s="11" t="e">
        <f>'[5]3.11. VAR'!#REF!</f>
        <v>#REF!</v>
      </c>
      <c r="L119" s="10" t="e">
        <f>'[5]3.11. VAR'!#REF!</f>
        <v>#REF!</v>
      </c>
      <c r="M119" s="10" t="e">
        <f>'[5]3.11. VAR'!#REF!</f>
        <v>#REF!</v>
      </c>
      <c r="N119" s="10" t="e">
        <f>'[5]3.11. VAR'!#REF!</f>
        <v>#REF!</v>
      </c>
      <c r="O119" s="10" t="e">
        <f>'[5]3.11. VAR'!#REF!</f>
        <v>#REF!</v>
      </c>
      <c r="P119" s="60" t="e">
        <f>'[5]3.11. VAR'!#REF!</f>
        <v>#REF!</v>
      </c>
      <c r="Q119" s="10" t="e">
        <f>'[5]3.11. VAR'!#REF!</f>
        <v>#REF!</v>
      </c>
      <c r="R119" s="10" t="e">
        <f>'[5]3.11. VAR'!#REF!</f>
        <v>#REF!</v>
      </c>
      <c r="S119" s="10" t="e">
        <f>'[5]3.11. VAR'!#REF!</f>
        <v>#REF!</v>
      </c>
      <c r="T119" s="11" t="e">
        <f>'[5]3.11. VAR'!#REF!</f>
        <v>#REF!</v>
      </c>
      <c r="U119" s="11" t="e">
        <f>'[5]3.11. VAR'!#REF!</f>
        <v>#REF!</v>
      </c>
    </row>
    <row r="120" spans="1:21" customFormat="1" ht="14" hidden="1">
      <c r="A120" s="129" t="s">
        <v>102</v>
      </c>
      <c r="B120" s="192" t="s">
        <v>103</v>
      </c>
      <c r="C120" s="171"/>
      <c r="D120" s="130"/>
      <c r="E120" s="131"/>
      <c r="F120" s="131"/>
      <c r="G120" s="131"/>
      <c r="H120" s="130"/>
      <c r="I120" s="131"/>
      <c r="J120" s="131"/>
      <c r="K120" s="132"/>
      <c r="L120" s="131"/>
      <c r="M120" s="131"/>
      <c r="N120" s="131"/>
      <c r="O120" s="131"/>
      <c r="P120" s="130"/>
      <c r="Q120" s="131"/>
      <c r="R120" s="131"/>
      <c r="S120" s="131"/>
      <c r="T120" s="132"/>
      <c r="U120" s="132"/>
    </row>
    <row r="121" spans="1:21" customFormat="1" ht="28" hidden="1">
      <c r="A121" s="66"/>
      <c r="B121" s="2" t="s">
        <v>297</v>
      </c>
      <c r="C121" s="153" t="s">
        <v>298</v>
      </c>
      <c r="D121" s="59">
        <v>184.6</v>
      </c>
      <c r="E121" s="5">
        <v>161.6</v>
      </c>
      <c r="F121" s="5">
        <v>92.6</v>
      </c>
      <c r="G121" s="5">
        <v>84.3</v>
      </c>
      <c r="H121" s="59">
        <v>84.8</v>
      </c>
      <c r="I121" s="5">
        <v>62.8</v>
      </c>
      <c r="J121" s="5">
        <v>55.3</v>
      </c>
      <c r="K121" s="6">
        <v>67.2</v>
      </c>
      <c r="L121" s="5">
        <v>75.900000000000006</v>
      </c>
      <c r="M121" s="5">
        <v>89.7</v>
      </c>
      <c r="N121" s="5">
        <v>100.7</v>
      </c>
      <c r="O121" s="5">
        <v>100.7</v>
      </c>
      <c r="P121" s="59">
        <v>100.7</v>
      </c>
      <c r="Q121" s="5">
        <v>100.7</v>
      </c>
      <c r="R121" s="5">
        <v>100.7</v>
      </c>
      <c r="S121" s="5">
        <v>100.7</v>
      </c>
      <c r="T121" s="6">
        <v>100.7</v>
      </c>
      <c r="U121" s="6">
        <v>100.7</v>
      </c>
    </row>
    <row r="122" spans="1:21" customFormat="1" ht="56" hidden="1">
      <c r="A122" s="67"/>
      <c r="B122" s="7" t="s">
        <v>299</v>
      </c>
      <c r="C122" s="154" t="s">
        <v>298</v>
      </c>
      <c r="D122" s="60">
        <v>258.5</v>
      </c>
      <c r="E122" s="10">
        <v>384.5</v>
      </c>
      <c r="F122" s="10">
        <v>132.80000000000001</v>
      </c>
      <c r="G122" s="10">
        <v>193.6</v>
      </c>
      <c r="H122" s="60">
        <v>578.20000000000005</v>
      </c>
      <c r="I122" s="10">
        <v>554.4</v>
      </c>
      <c r="J122" s="10">
        <v>576.57600000000002</v>
      </c>
      <c r="K122" s="11">
        <v>611.17056000000002</v>
      </c>
      <c r="L122" s="10">
        <v>623.39397120000001</v>
      </c>
      <c r="M122" s="10">
        <v>648.32973004799999</v>
      </c>
      <c r="N122" s="10">
        <v>674.26291924991995</v>
      </c>
      <c r="O122" s="10">
        <v>674.26291924991995</v>
      </c>
      <c r="P122" s="60">
        <v>674.26291924991995</v>
      </c>
      <c r="Q122" s="10">
        <v>674.26291924991995</v>
      </c>
      <c r="R122" s="10">
        <v>674.26291924991995</v>
      </c>
      <c r="S122" s="10">
        <v>674.26291924991995</v>
      </c>
      <c r="T122" s="11">
        <v>674.26291924991995</v>
      </c>
      <c r="U122" s="11">
        <v>674.26291924991995</v>
      </c>
    </row>
    <row r="123" spans="1:21" customFormat="1" ht="14" hidden="1">
      <c r="A123" s="129" t="s">
        <v>104</v>
      </c>
      <c r="B123" s="192" t="s">
        <v>105</v>
      </c>
      <c r="C123" s="171"/>
      <c r="D123" s="130"/>
      <c r="E123" s="131"/>
      <c r="F123" s="131"/>
      <c r="G123" s="131"/>
      <c r="H123" s="130"/>
      <c r="I123" s="131"/>
      <c r="J123" s="131"/>
      <c r="K123" s="132"/>
      <c r="L123" s="131"/>
      <c r="M123" s="131"/>
      <c r="N123" s="131"/>
      <c r="O123" s="131"/>
      <c r="P123" s="130"/>
      <c r="Q123" s="131"/>
      <c r="R123" s="131"/>
      <c r="S123" s="131"/>
      <c r="T123" s="132"/>
      <c r="U123" s="132"/>
    </row>
    <row r="124" spans="1:21" customFormat="1" ht="28" hidden="1">
      <c r="A124" s="66"/>
      <c r="B124" s="2" t="s">
        <v>300</v>
      </c>
      <c r="C124" s="153" t="s">
        <v>224</v>
      </c>
      <c r="D124" s="59">
        <v>26727.9</v>
      </c>
      <c r="E124" s="5">
        <v>18428.099999999999</v>
      </c>
      <c r="F124" s="5">
        <v>124440.1</v>
      </c>
      <c r="G124" s="5">
        <v>6673.4</v>
      </c>
      <c r="H124" s="59">
        <v>11161.3</v>
      </c>
      <c r="I124" s="5">
        <v>9023.2000000000007</v>
      </c>
      <c r="J124" s="5">
        <v>10915.2</v>
      </c>
      <c r="K124" s="6">
        <v>11444.1</v>
      </c>
      <c r="L124" s="5">
        <v>11973</v>
      </c>
      <c r="M124" s="5">
        <v>12501.9</v>
      </c>
      <c r="N124" s="5">
        <v>13030.8</v>
      </c>
      <c r="O124" s="5">
        <v>13030.8</v>
      </c>
      <c r="P124" s="59">
        <v>13030.8</v>
      </c>
      <c r="Q124" s="5">
        <v>13030.8</v>
      </c>
      <c r="R124" s="5">
        <v>13030.8</v>
      </c>
      <c r="S124" s="5">
        <v>13030.8</v>
      </c>
      <c r="T124" s="6">
        <v>13030.8</v>
      </c>
      <c r="U124" s="6">
        <v>13030.8</v>
      </c>
    </row>
    <row r="125" spans="1:21" customFormat="1" ht="28" hidden="1">
      <c r="A125" s="66"/>
      <c r="B125" s="2" t="s">
        <v>301</v>
      </c>
      <c r="C125" s="153" t="s">
        <v>224</v>
      </c>
      <c r="D125" s="59">
        <v>6538.3</v>
      </c>
      <c r="E125" s="5">
        <v>3229.7</v>
      </c>
      <c r="F125" s="5">
        <v>3697.8</v>
      </c>
      <c r="G125" s="5">
        <v>1743.8</v>
      </c>
      <c r="H125" s="59">
        <v>2397.9</v>
      </c>
      <c r="I125" s="5">
        <v>3510.9</v>
      </c>
      <c r="J125" s="5">
        <v>3690.1</v>
      </c>
      <c r="K125" s="6">
        <v>3763.902</v>
      </c>
      <c r="L125" s="5">
        <v>3876.8190600000003</v>
      </c>
      <c r="M125" s="5">
        <v>4031.8918224000004</v>
      </c>
      <c r="N125" s="5">
        <v>4152.8485770720008</v>
      </c>
      <c r="O125" s="5">
        <v>4152.8485770720008</v>
      </c>
      <c r="P125" s="59">
        <v>4152.8485770720008</v>
      </c>
      <c r="Q125" s="5">
        <v>4152.8485770720008</v>
      </c>
      <c r="R125" s="5">
        <v>4152.8485770720008</v>
      </c>
      <c r="S125" s="5">
        <v>4152.8485770720008</v>
      </c>
      <c r="T125" s="6">
        <v>4152.8485770720008</v>
      </c>
      <c r="U125" s="6">
        <v>4152.8485770720008</v>
      </c>
    </row>
    <row r="126" spans="1:21" customFormat="1" ht="28" hidden="1">
      <c r="A126" s="66"/>
      <c r="B126" s="2" t="s">
        <v>302</v>
      </c>
      <c r="C126" s="153" t="s">
        <v>224</v>
      </c>
      <c r="D126" s="59">
        <v>1226.3</v>
      </c>
      <c r="E126" s="5">
        <v>1071.8</v>
      </c>
      <c r="F126" s="5">
        <v>1273.8</v>
      </c>
      <c r="G126" s="5">
        <v>16148.6</v>
      </c>
      <c r="H126" s="59">
        <v>9457</v>
      </c>
      <c r="I126" s="5">
        <v>6417</v>
      </c>
      <c r="J126" s="5">
        <v>7998.3</v>
      </c>
      <c r="K126" s="6">
        <v>8558.1810000000005</v>
      </c>
      <c r="L126" s="5">
        <v>9841.9081500000011</v>
      </c>
      <c r="M126" s="5">
        <v>12302.385187500002</v>
      </c>
      <c r="N126" s="5">
        <v>13286.576002500002</v>
      </c>
      <c r="O126" s="5">
        <v>13286.576002500002</v>
      </c>
      <c r="P126" s="59">
        <v>13286.576002500002</v>
      </c>
      <c r="Q126" s="5">
        <v>13286.576002500002</v>
      </c>
      <c r="R126" s="5">
        <v>13286.576002500002</v>
      </c>
      <c r="S126" s="5">
        <v>13286.576002500002</v>
      </c>
      <c r="T126" s="6">
        <v>13286.576002500002</v>
      </c>
      <c r="U126" s="6">
        <v>13286.576002500002</v>
      </c>
    </row>
    <row r="127" spans="1:21" customFormat="1" ht="14" hidden="1">
      <c r="A127" s="66"/>
      <c r="B127" s="2" t="s">
        <v>303</v>
      </c>
      <c r="C127" s="153" t="s">
        <v>224</v>
      </c>
      <c r="D127" s="59">
        <v>0</v>
      </c>
      <c r="E127" s="5">
        <v>0</v>
      </c>
      <c r="F127" s="5">
        <v>0</v>
      </c>
      <c r="G127" s="5">
        <v>0</v>
      </c>
      <c r="H127" s="59">
        <v>0</v>
      </c>
      <c r="I127" s="5">
        <v>0</v>
      </c>
      <c r="J127" s="5">
        <v>18550</v>
      </c>
      <c r="K127" s="6">
        <v>21182</v>
      </c>
      <c r="L127" s="5">
        <v>22000</v>
      </c>
      <c r="M127" s="5">
        <v>23000</v>
      </c>
      <c r="N127" s="5">
        <v>24000</v>
      </c>
      <c r="O127" s="5">
        <v>24000</v>
      </c>
      <c r="P127" s="59">
        <v>24000</v>
      </c>
      <c r="Q127" s="5">
        <v>24000</v>
      </c>
      <c r="R127" s="5">
        <v>24000</v>
      </c>
      <c r="S127" s="5">
        <v>24000</v>
      </c>
      <c r="T127" s="6">
        <v>24000</v>
      </c>
      <c r="U127" s="6">
        <v>24000</v>
      </c>
    </row>
    <row r="128" spans="1:21" customFormat="1" ht="28" hidden="1">
      <c r="A128" s="66"/>
      <c r="B128" s="2" t="s">
        <v>304</v>
      </c>
      <c r="C128" s="153" t="s">
        <v>50</v>
      </c>
      <c r="D128" s="59">
        <v>8571.2999999999993</v>
      </c>
      <c r="E128" s="5">
        <v>5542.8</v>
      </c>
      <c r="F128" s="5">
        <v>4014</v>
      </c>
      <c r="G128" s="5">
        <v>4325.1000000000004</v>
      </c>
      <c r="H128" s="59">
        <v>3508.8</v>
      </c>
      <c r="I128" s="5">
        <v>5732.8</v>
      </c>
      <c r="J128" s="5">
        <v>5768.4</v>
      </c>
      <c r="K128" s="6">
        <v>5941.4519999999993</v>
      </c>
      <c r="L128" s="5">
        <v>6238.5245999999988</v>
      </c>
      <c r="M128" s="5">
        <v>6675.2213219999985</v>
      </c>
      <c r="N128" s="5">
        <v>7142.4868145399987</v>
      </c>
      <c r="O128" s="5">
        <v>7142.4868145399987</v>
      </c>
      <c r="P128" s="59">
        <v>7142.4868145399987</v>
      </c>
      <c r="Q128" s="5">
        <v>7142.4868145399987</v>
      </c>
      <c r="R128" s="5">
        <v>7142.4868145399987</v>
      </c>
      <c r="S128" s="5">
        <v>7142.4868145399987</v>
      </c>
      <c r="T128" s="6">
        <v>7142.4868145399987</v>
      </c>
      <c r="U128" s="6">
        <v>7142.4868145399987</v>
      </c>
    </row>
    <row r="129" spans="1:21" customFormat="1" ht="14" hidden="1">
      <c r="A129" s="129" t="s">
        <v>106</v>
      </c>
      <c r="B129" s="192" t="s">
        <v>107</v>
      </c>
      <c r="C129" s="171"/>
      <c r="D129" s="130"/>
      <c r="E129" s="131"/>
      <c r="F129" s="131"/>
      <c r="G129" s="131"/>
      <c r="H129" s="130"/>
      <c r="I129" s="131"/>
      <c r="J129" s="131"/>
      <c r="K129" s="132"/>
      <c r="L129" s="131"/>
      <c r="M129" s="131"/>
      <c r="N129" s="131"/>
      <c r="O129" s="131"/>
      <c r="P129" s="130"/>
      <c r="Q129" s="131"/>
      <c r="R129" s="131"/>
      <c r="S129" s="131"/>
      <c r="T129" s="132"/>
      <c r="U129" s="132"/>
    </row>
    <row r="130" spans="1:21" customFormat="1" ht="14" hidden="1">
      <c r="A130" s="66"/>
      <c r="B130" s="2" t="s">
        <v>305</v>
      </c>
      <c r="C130" s="153" t="s">
        <v>306</v>
      </c>
      <c r="D130" s="59">
        <v>2296</v>
      </c>
      <c r="E130" s="5">
        <v>2941</v>
      </c>
      <c r="F130" s="5">
        <v>2683</v>
      </c>
      <c r="G130" s="5">
        <v>2307.6999999999998</v>
      </c>
      <c r="H130" s="59">
        <v>2928.7</v>
      </c>
      <c r="I130" s="5">
        <v>3444.8</v>
      </c>
      <c r="J130" s="5">
        <v>3539.84</v>
      </c>
      <c r="K130" s="6">
        <v>3634.88</v>
      </c>
      <c r="L130" s="5">
        <v>3729.92</v>
      </c>
      <c r="M130" s="5">
        <v>3824.96</v>
      </c>
      <c r="N130" s="5">
        <v>3920</v>
      </c>
      <c r="O130" s="5">
        <v>3920</v>
      </c>
      <c r="P130" s="59">
        <v>3920</v>
      </c>
      <c r="Q130" s="5">
        <v>3920</v>
      </c>
      <c r="R130" s="5">
        <v>3920</v>
      </c>
      <c r="S130" s="5">
        <v>3920</v>
      </c>
      <c r="T130" s="6">
        <v>3920</v>
      </c>
      <c r="U130" s="6">
        <v>3920</v>
      </c>
    </row>
    <row r="131" spans="1:21" customFormat="1" ht="14" hidden="1">
      <c r="A131" s="66"/>
      <c r="B131" s="2" t="s">
        <v>307</v>
      </c>
      <c r="C131" s="153" t="s">
        <v>308</v>
      </c>
      <c r="D131" s="59">
        <v>28.3</v>
      </c>
      <c r="E131" s="5">
        <v>36</v>
      </c>
      <c r="F131" s="5">
        <v>27.3</v>
      </c>
      <c r="G131" s="5">
        <v>110.9</v>
      </c>
      <c r="H131" s="59">
        <v>195.2</v>
      </c>
      <c r="I131" s="5">
        <v>135.5</v>
      </c>
      <c r="J131" s="5">
        <v>139.23836507199258</v>
      </c>
      <c r="K131" s="6">
        <v>142.97673014398515</v>
      </c>
      <c r="L131" s="5">
        <v>146.71509521597773</v>
      </c>
      <c r="M131" s="5">
        <v>150.4534602879703</v>
      </c>
      <c r="N131" s="5">
        <v>154.19182535996288</v>
      </c>
      <c r="O131" s="5">
        <v>154.19182535996288</v>
      </c>
      <c r="P131" s="59">
        <v>154.19182535996288</v>
      </c>
      <c r="Q131" s="5">
        <v>154.19182535996288</v>
      </c>
      <c r="R131" s="5">
        <v>154.19182535996288</v>
      </c>
      <c r="S131" s="5">
        <v>154.19182535996288</v>
      </c>
      <c r="T131" s="6">
        <v>154.19182535996288</v>
      </c>
      <c r="U131" s="6">
        <v>154.19182535996288</v>
      </c>
    </row>
    <row r="132" spans="1:21" customFormat="1" ht="14" hidden="1">
      <c r="A132" s="66"/>
      <c r="B132" s="2" t="s">
        <v>309</v>
      </c>
      <c r="C132" s="153" t="s">
        <v>202</v>
      </c>
      <c r="D132" s="59">
        <v>1204</v>
      </c>
      <c r="E132" s="5">
        <v>1692</v>
      </c>
      <c r="F132" s="5">
        <v>942.1</v>
      </c>
      <c r="G132" s="5">
        <v>395.1</v>
      </c>
      <c r="H132" s="59">
        <v>797.5</v>
      </c>
      <c r="I132" s="5">
        <v>1466.7</v>
      </c>
      <c r="J132" s="5">
        <v>1507.1653878309337</v>
      </c>
      <c r="K132" s="6">
        <v>1547.6307756618673</v>
      </c>
      <c r="L132" s="5">
        <v>1588.096163492801</v>
      </c>
      <c r="M132" s="5">
        <v>1628.5615513237346</v>
      </c>
      <c r="N132" s="5">
        <v>1669.0269391546683</v>
      </c>
      <c r="O132" s="5">
        <v>1669.0269391546683</v>
      </c>
      <c r="P132" s="59">
        <v>1669.0269391546683</v>
      </c>
      <c r="Q132" s="5">
        <v>1669.0269391546683</v>
      </c>
      <c r="R132" s="5">
        <v>1669.0269391546683</v>
      </c>
      <c r="S132" s="5">
        <v>1669.0269391546683</v>
      </c>
      <c r="T132" s="6">
        <v>1669.0269391546683</v>
      </c>
      <c r="U132" s="6">
        <v>1669.0269391546683</v>
      </c>
    </row>
    <row r="133" spans="1:21" customFormat="1" ht="14" hidden="1">
      <c r="A133" s="66"/>
      <c r="B133" s="2" t="s">
        <v>310</v>
      </c>
      <c r="C133" s="153" t="s">
        <v>202</v>
      </c>
      <c r="D133" s="59">
        <v>1138</v>
      </c>
      <c r="E133" s="5">
        <v>1103</v>
      </c>
      <c r="F133" s="5">
        <v>977.7</v>
      </c>
      <c r="G133" s="5">
        <v>711.1</v>
      </c>
      <c r="H133" s="59">
        <v>554.5</v>
      </c>
      <c r="I133" s="5">
        <v>650.6</v>
      </c>
      <c r="J133" s="5">
        <v>716.65731559643211</v>
      </c>
      <c r="K133" s="6">
        <v>765.64583101747144</v>
      </c>
      <c r="L133" s="5">
        <v>805.666527123626</v>
      </c>
      <c r="M133" s="5">
        <v>845.62899934365294</v>
      </c>
      <c r="N133" s="5">
        <v>900</v>
      </c>
      <c r="O133" s="5">
        <v>900</v>
      </c>
      <c r="P133" s="59">
        <v>900</v>
      </c>
      <c r="Q133" s="5">
        <v>900</v>
      </c>
      <c r="R133" s="5">
        <v>900</v>
      </c>
      <c r="S133" s="5">
        <v>900</v>
      </c>
      <c r="T133" s="6">
        <v>900</v>
      </c>
      <c r="U133" s="6">
        <v>900</v>
      </c>
    </row>
    <row r="134" spans="1:21" customFormat="1" ht="14" hidden="1">
      <c r="A134" s="66"/>
      <c r="B134" s="2" t="s">
        <v>311</v>
      </c>
      <c r="C134" s="153" t="s">
        <v>308</v>
      </c>
      <c r="D134" s="59">
        <v>450</v>
      </c>
      <c r="E134" s="5">
        <v>426.1</v>
      </c>
      <c r="F134" s="5">
        <v>280.60000000000002</v>
      </c>
      <c r="G134" s="5">
        <v>234.1</v>
      </c>
      <c r="H134" s="59">
        <v>303.10000000000002</v>
      </c>
      <c r="I134" s="5">
        <v>388.7</v>
      </c>
      <c r="J134" s="5">
        <v>480.26462962962967</v>
      </c>
      <c r="K134" s="6">
        <v>501.9051296296297</v>
      </c>
      <c r="L134" s="5">
        <v>528.66721462962971</v>
      </c>
      <c r="M134" s="5">
        <v>557.30264557962983</v>
      </c>
      <c r="N134" s="5">
        <v>583.56542653662996</v>
      </c>
      <c r="O134" s="5">
        <v>583.56542653662996</v>
      </c>
      <c r="P134" s="59">
        <v>583.56542653662996</v>
      </c>
      <c r="Q134" s="5">
        <v>583.56542653662996</v>
      </c>
      <c r="R134" s="5">
        <v>583.56542653662996</v>
      </c>
      <c r="S134" s="5">
        <v>583.56542653662996</v>
      </c>
      <c r="T134" s="6">
        <v>583.56542653662996</v>
      </c>
      <c r="U134" s="6">
        <v>583.56542653662996</v>
      </c>
    </row>
    <row r="135" spans="1:21" customFormat="1" ht="27.75" hidden="1" customHeight="1">
      <c r="A135" s="66"/>
      <c r="B135" s="2" t="s">
        <v>312</v>
      </c>
      <c r="C135" s="153" t="s">
        <v>260</v>
      </c>
      <c r="D135" s="59">
        <v>11058.8</v>
      </c>
      <c r="E135" s="5">
        <v>11247.3</v>
      </c>
      <c r="F135" s="5">
        <v>15710</v>
      </c>
      <c r="G135" s="5">
        <v>12816.9</v>
      </c>
      <c r="H135" s="59">
        <v>10395.299999999999</v>
      </c>
      <c r="I135" s="5">
        <v>12604.8</v>
      </c>
      <c r="J135" s="5">
        <v>12983.84</v>
      </c>
      <c r="K135" s="6">
        <v>13362.880000000001</v>
      </c>
      <c r="L135" s="5">
        <v>13741.920000000002</v>
      </c>
      <c r="M135" s="5">
        <v>14120.960000000003</v>
      </c>
      <c r="N135" s="5">
        <v>14500</v>
      </c>
      <c r="O135" s="5">
        <v>14500</v>
      </c>
      <c r="P135" s="59">
        <v>14500</v>
      </c>
      <c r="Q135" s="5">
        <v>14500</v>
      </c>
      <c r="R135" s="5">
        <v>14500</v>
      </c>
      <c r="S135" s="5">
        <v>14500</v>
      </c>
      <c r="T135" s="6">
        <v>14500</v>
      </c>
      <c r="U135" s="6">
        <v>14500</v>
      </c>
    </row>
    <row r="136" spans="1:21" customFormat="1" ht="14" hidden="1">
      <c r="A136" s="66"/>
      <c r="B136" s="2" t="s">
        <v>313</v>
      </c>
      <c r="C136" s="153" t="s">
        <v>224</v>
      </c>
      <c r="D136" s="59">
        <v>249.8</v>
      </c>
      <c r="E136" s="5">
        <v>222.7</v>
      </c>
      <c r="F136" s="5">
        <v>196.5</v>
      </c>
      <c r="G136" s="5">
        <v>155.80000000000001</v>
      </c>
      <c r="H136" s="59">
        <v>85.1</v>
      </c>
      <c r="I136" s="5">
        <v>40</v>
      </c>
      <c r="J136" s="5">
        <v>47.629999999999995</v>
      </c>
      <c r="K136" s="6">
        <v>57.155999999999992</v>
      </c>
      <c r="L136" s="5">
        <v>71.444999999999993</v>
      </c>
      <c r="M136" s="5">
        <v>92.878499999999988</v>
      </c>
      <c r="N136" s="5">
        <v>106.81027499999999</v>
      </c>
      <c r="O136" s="5">
        <v>106.81027499999999</v>
      </c>
      <c r="P136" s="59">
        <v>106.81027499999999</v>
      </c>
      <c r="Q136" s="5">
        <v>106.81027499999999</v>
      </c>
      <c r="R136" s="5">
        <v>106.81027499999999</v>
      </c>
      <c r="S136" s="5">
        <v>106.81027499999999</v>
      </c>
      <c r="T136" s="6">
        <v>106.81027499999999</v>
      </c>
      <c r="U136" s="6">
        <v>106.81027499999999</v>
      </c>
    </row>
    <row r="137" spans="1:21" customFormat="1" ht="14" hidden="1">
      <c r="A137" s="66"/>
      <c r="B137" s="2" t="s">
        <v>314</v>
      </c>
      <c r="C137" s="153" t="s">
        <v>260</v>
      </c>
      <c r="D137" s="59">
        <v>0</v>
      </c>
      <c r="E137" s="5">
        <v>0</v>
      </c>
      <c r="F137" s="5">
        <v>0</v>
      </c>
      <c r="G137" s="5">
        <v>0</v>
      </c>
      <c r="H137" s="59">
        <v>0</v>
      </c>
      <c r="I137" s="5">
        <v>0</v>
      </c>
      <c r="J137" s="5">
        <v>0</v>
      </c>
      <c r="K137" s="6">
        <v>687</v>
      </c>
      <c r="L137" s="5">
        <v>3814.5</v>
      </c>
      <c r="M137" s="5">
        <v>4958.8500000000004</v>
      </c>
      <c r="N137" s="5">
        <v>6103.2000000000007</v>
      </c>
      <c r="O137" s="5">
        <v>6103.2000000000007</v>
      </c>
      <c r="P137" s="59">
        <v>6103.2000000000007</v>
      </c>
      <c r="Q137" s="5">
        <v>6103.2000000000007</v>
      </c>
      <c r="R137" s="5">
        <v>6103.2000000000007</v>
      </c>
      <c r="S137" s="5">
        <v>6103.2000000000007</v>
      </c>
      <c r="T137" s="6">
        <v>6103.2000000000007</v>
      </c>
      <c r="U137" s="6">
        <v>6103.2000000000007</v>
      </c>
    </row>
    <row r="138" spans="1:21" customFormat="1" ht="28" hidden="1">
      <c r="A138" s="66"/>
      <c r="B138" s="2" t="s">
        <v>315</v>
      </c>
      <c r="C138" s="153" t="s">
        <v>260</v>
      </c>
      <c r="D138" s="59">
        <v>0</v>
      </c>
      <c r="E138" s="5">
        <v>0</v>
      </c>
      <c r="F138" s="5">
        <v>0</v>
      </c>
      <c r="G138" s="5">
        <v>0</v>
      </c>
      <c r="H138" s="59">
        <v>1595.4</v>
      </c>
      <c r="I138" s="5">
        <v>2421.1</v>
      </c>
      <c r="J138" s="5">
        <v>2517.944</v>
      </c>
      <c r="K138" s="6">
        <v>2643.8411999999998</v>
      </c>
      <c r="L138" s="5">
        <v>2776.0332599999997</v>
      </c>
      <c r="M138" s="5">
        <v>2998.1159207999999</v>
      </c>
      <c r="N138" s="5">
        <v>3267.946353672</v>
      </c>
      <c r="O138" s="5">
        <v>3267.946353672</v>
      </c>
      <c r="P138" s="59">
        <v>3267.946353672</v>
      </c>
      <c r="Q138" s="5">
        <v>3267.946353672</v>
      </c>
      <c r="R138" s="5">
        <v>3267.946353672</v>
      </c>
      <c r="S138" s="5">
        <v>3267.946353672</v>
      </c>
      <c r="T138" s="6">
        <v>3267.946353672</v>
      </c>
      <c r="U138" s="6">
        <v>3267.946353672</v>
      </c>
    </row>
    <row r="139" spans="1:21" customFormat="1" ht="42" hidden="1">
      <c r="A139" s="67"/>
      <c r="B139" s="7" t="s">
        <v>316</v>
      </c>
      <c r="C139" s="154" t="s">
        <v>224</v>
      </c>
      <c r="D139" s="60">
        <v>24451.9</v>
      </c>
      <c r="E139" s="10">
        <v>15313.8</v>
      </c>
      <c r="F139" s="10">
        <v>16716.8</v>
      </c>
      <c r="G139" s="10">
        <v>7501.4</v>
      </c>
      <c r="H139" s="60">
        <v>26060.2</v>
      </c>
      <c r="I139" s="10">
        <v>33728.5</v>
      </c>
      <c r="J139" s="10">
        <v>34065.785000000003</v>
      </c>
      <c r="K139" s="11">
        <v>34406.442850000007</v>
      </c>
      <c r="L139" s="10">
        <v>34750.507278500008</v>
      </c>
      <c r="M139" s="10">
        <v>35098.012351285011</v>
      </c>
      <c r="N139" s="10">
        <v>35448.992474797858</v>
      </c>
      <c r="O139" s="10">
        <v>35448.992474797858</v>
      </c>
      <c r="P139" s="60">
        <v>35448.992474797858</v>
      </c>
      <c r="Q139" s="10">
        <v>35448.992474797858</v>
      </c>
      <c r="R139" s="10">
        <v>35448.992474797858</v>
      </c>
      <c r="S139" s="10">
        <v>35448.992474797858</v>
      </c>
      <c r="T139" s="11">
        <v>35448.992474797858</v>
      </c>
      <c r="U139" s="11">
        <v>35448.992474797858</v>
      </c>
    </row>
    <row r="140" spans="1:21" customFormat="1" ht="14" hidden="1">
      <c r="A140" s="182" t="s">
        <v>108</v>
      </c>
      <c r="B140" s="199" t="s">
        <v>109</v>
      </c>
      <c r="C140" s="183"/>
      <c r="D140" s="184"/>
      <c r="E140" s="185"/>
      <c r="F140" s="185"/>
      <c r="G140" s="185"/>
      <c r="H140" s="184"/>
      <c r="I140" s="185"/>
      <c r="J140" s="185"/>
      <c r="K140" s="186"/>
      <c r="L140" s="185"/>
      <c r="M140" s="185"/>
      <c r="N140" s="185"/>
      <c r="O140" s="185"/>
      <c r="P140" s="184"/>
      <c r="Q140" s="185"/>
      <c r="R140" s="185"/>
      <c r="S140" s="185"/>
      <c r="T140" s="186"/>
      <c r="U140" s="186"/>
    </row>
    <row r="141" spans="1:21" customFormat="1" ht="28" hidden="1">
      <c r="A141" s="66"/>
      <c r="B141" s="2" t="s">
        <v>317</v>
      </c>
      <c r="C141" s="153" t="s">
        <v>224</v>
      </c>
      <c r="D141" s="59">
        <v>231358.1</v>
      </c>
      <c r="E141" s="5">
        <v>287517.2</v>
      </c>
      <c r="F141" s="5">
        <v>301718.90000000002</v>
      </c>
      <c r="G141" s="5">
        <v>344334.8</v>
      </c>
      <c r="H141" s="59">
        <v>327285.40000000002</v>
      </c>
      <c r="I141" s="5" t="e">
        <f>'[5]3.15. VAR'!#REF!</f>
        <v>#REF!</v>
      </c>
      <c r="J141" s="5" t="e">
        <f>'[5]3.15. VAR'!#REF!</f>
        <v>#REF!</v>
      </c>
      <c r="K141" s="6" t="e">
        <f>'[5]3.15. VAR'!#REF!</f>
        <v>#REF!</v>
      </c>
      <c r="L141" s="5" t="e">
        <f>'[5]3.15. VAR'!#REF!</f>
        <v>#REF!</v>
      </c>
      <c r="M141" s="5" t="e">
        <f>'[5]3.15. VAR'!#REF!</f>
        <v>#REF!</v>
      </c>
      <c r="N141" s="5" t="e">
        <f>'[5]3.15. VAR'!#REF!</f>
        <v>#REF!</v>
      </c>
      <c r="O141" s="5" t="e">
        <f>'[5]3.15. VAR'!#REF!</f>
        <v>#REF!</v>
      </c>
      <c r="P141" s="59" t="e">
        <f>'[5]3.15. VAR'!#REF!</f>
        <v>#REF!</v>
      </c>
      <c r="Q141" s="5" t="e">
        <f>'[5]3.15. VAR'!#REF!</f>
        <v>#REF!</v>
      </c>
      <c r="R141" s="5" t="e">
        <f>'[5]3.15. VAR'!#REF!</f>
        <v>#REF!</v>
      </c>
      <c r="S141" s="5" t="e">
        <f>'[5]3.15. VAR'!#REF!</f>
        <v>#REF!</v>
      </c>
      <c r="T141" s="6" t="e">
        <f>'[5]3.15. VAR'!#REF!</f>
        <v>#REF!</v>
      </c>
      <c r="U141" s="6" t="e">
        <f>'[5]3.15. VAR'!#REF!</f>
        <v>#REF!</v>
      </c>
    </row>
    <row r="142" spans="1:21" customFormat="1" ht="28" hidden="1" outlineLevel="1">
      <c r="A142" s="66"/>
      <c r="B142" s="2" t="s">
        <v>318</v>
      </c>
      <c r="C142" s="153" t="s">
        <v>224</v>
      </c>
      <c r="D142" s="59">
        <v>20113</v>
      </c>
      <c r="E142" s="5">
        <v>9.9999999999999995E-8</v>
      </c>
      <c r="F142" s="5">
        <v>9.9999999999999995E-8</v>
      </c>
      <c r="G142" s="5">
        <v>9.9999999999999995E-8</v>
      </c>
      <c r="H142" s="59">
        <v>9.9999999999999995E-8</v>
      </c>
      <c r="I142" s="5">
        <v>9.9999999999999995E-8</v>
      </c>
      <c r="J142" s="5">
        <v>9.9999999999999995E-8</v>
      </c>
      <c r="K142" s="6">
        <v>9.9999999999999995E-8</v>
      </c>
      <c r="L142" s="5">
        <v>9.9999999999999995E-8</v>
      </c>
      <c r="M142" s="5">
        <v>9.9999999999999995E-8</v>
      </c>
      <c r="N142" s="5">
        <v>9.9999999999999995E-8</v>
      </c>
      <c r="O142" s="5">
        <v>9.9999999999999995E-8</v>
      </c>
      <c r="P142" s="59">
        <v>1.0000001000000001</v>
      </c>
      <c r="Q142" s="5">
        <v>1.0000001000000001</v>
      </c>
      <c r="R142" s="5">
        <v>2.0000000999999998</v>
      </c>
      <c r="S142" s="5">
        <v>3.0000000999999998</v>
      </c>
      <c r="T142" s="6">
        <v>4.0000001000000003</v>
      </c>
      <c r="U142" s="6">
        <v>5.0000001000000003</v>
      </c>
    </row>
    <row r="143" spans="1:21" customFormat="1" ht="42" hidden="1">
      <c r="A143" s="66"/>
      <c r="B143" s="2" t="s">
        <v>319</v>
      </c>
      <c r="C143" s="153" t="s">
        <v>224</v>
      </c>
      <c r="D143" s="59">
        <v>241708.1</v>
      </c>
      <c r="E143" s="5">
        <v>248700.5</v>
      </c>
      <c r="F143" s="5">
        <v>220827</v>
      </c>
      <c r="G143" s="5">
        <v>218582</v>
      </c>
      <c r="H143" s="59">
        <v>235549.8</v>
      </c>
      <c r="I143" s="5" t="e">
        <f>'[5]3.15. VAR'!#REF!</f>
        <v>#REF!</v>
      </c>
      <c r="J143" s="5" t="e">
        <f>'[5]3.15. VAR'!#REF!</f>
        <v>#REF!</v>
      </c>
      <c r="K143" s="6" t="e">
        <f>'[5]3.15. VAR'!#REF!</f>
        <v>#REF!</v>
      </c>
      <c r="L143" s="5" t="e">
        <f>'[5]3.15. VAR'!#REF!</f>
        <v>#REF!</v>
      </c>
      <c r="M143" s="5" t="e">
        <f>'[5]3.15. VAR'!#REF!</f>
        <v>#REF!</v>
      </c>
      <c r="N143" s="5" t="e">
        <f>'[5]3.15. VAR'!#REF!</f>
        <v>#REF!</v>
      </c>
      <c r="O143" s="5" t="e">
        <f>'[5]3.15. VAR'!#REF!</f>
        <v>#REF!</v>
      </c>
      <c r="P143" s="59" t="e">
        <f>'[5]3.15. VAR'!#REF!</f>
        <v>#REF!</v>
      </c>
      <c r="Q143" s="5" t="e">
        <f>'[5]3.15. VAR'!#REF!</f>
        <v>#REF!</v>
      </c>
      <c r="R143" s="5" t="e">
        <f>'[5]3.15. VAR'!#REF!</f>
        <v>#REF!</v>
      </c>
      <c r="S143" s="5" t="e">
        <f>'[5]3.15. VAR'!#REF!</f>
        <v>#REF!</v>
      </c>
      <c r="T143" s="6" t="e">
        <f>'[5]3.15. VAR'!#REF!</f>
        <v>#REF!</v>
      </c>
      <c r="U143" s="6" t="e">
        <f>'[5]3.15. VAR'!#REF!</f>
        <v>#REF!</v>
      </c>
    </row>
    <row r="144" spans="1:21" customFormat="1" ht="14" hidden="1">
      <c r="A144" s="66"/>
      <c r="B144" s="2" t="s">
        <v>320</v>
      </c>
      <c r="C144" s="153" t="s">
        <v>224</v>
      </c>
      <c r="D144" s="59"/>
      <c r="E144" s="5"/>
      <c r="F144" s="5"/>
      <c r="G144" s="5"/>
      <c r="H144" s="59">
        <v>28707.7</v>
      </c>
      <c r="I144" s="5">
        <f>'[5]3.15. VAR'!R15</f>
        <v>19.602599999999999</v>
      </c>
      <c r="J144" s="5">
        <f>'[5]3.15. VAR'!S15</f>
        <v>20.423200000000001</v>
      </c>
      <c r="K144" s="6">
        <f>'[5]3.15. VAR'!T15</f>
        <v>23.794300000000003</v>
      </c>
      <c r="L144" s="5">
        <f>'[5]3.15. VAR'!U15</f>
        <v>31.327200000000001</v>
      </c>
      <c r="M144" s="5">
        <f>'[5]3.15. VAR'!V15</f>
        <v>24.2</v>
      </c>
      <c r="N144" s="5">
        <f>'[5]3.15. VAR'!W15</f>
        <v>18.32</v>
      </c>
      <c r="O144" s="5">
        <f>'[5]3.15. VAR'!X15</f>
        <v>38.18</v>
      </c>
      <c r="P144" s="59">
        <f>'[5]3.15. VAR'!Y15</f>
        <v>33</v>
      </c>
      <c r="Q144" s="5">
        <f>'[5]3.15. VAR'!Z15</f>
        <v>34</v>
      </c>
      <c r="R144" s="5">
        <f>'[5]3.15. VAR'!AA15</f>
        <v>35</v>
      </c>
      <c r="S144" s="5">
        <f>'[5]3.15. VAR'!AB15</f>
        <v>36</v>
      </c>
      <c r="T144" s="6">
        <f>'[5]3.15. VAR'!AC15</f>
        <v>37</v>
      </c>
      <c r="U144" s="6">
        <f>'[5]3.15. VAR'!AD15</f>
        <v>37</v>
      </c>
    </row>
    <row r="145" spans="1:21" customFormat="1" ht="14" hidden="1">
      <c r="A145" s="67"/>
      <c r="B145" s="7" t="s">
        <v>321</v>
      </c>
      <c r="C145" s="154" t="s">
        <v>224</v>
      </c>
      <c r="D145" s="60">
        <v>53290.400000000001</v>
      </c>
      <c r="E145" s="10">
        <v>50357.8</v>
      </c>
      <c r="F145" s="10">
        <v>4903.7</v>
      </c>
      <c r="G145" s="10">
        <v>33289.199999999997</v>
      </c>
      <c r="H145" s="60">
        <v>26591.8</v>
      </c>
      <c r="I145" s="10" t="e">
        <f>'[5]3.15. VAR'!#REF!</f>
        <v>#REF!</v>
      </c>
      <c r="J145" s="10" t="e">
        <f>'[5]3.15. VAR'!#REF!</f>
        <v>#REF!</v>
      </c>
      <c r="K145" s="11" t="e">
        <f>'[5]3.15. VAR'!#REF!</f>
        <v>#REF!</v>
      </c>
      <c r="L145" s="10" t="e">
        <f>'[5]3.15. VAR'!#REF!</f>
        <v>#REF!</v>
      </c>
      <c r="M145" s="10" t="e">
        <f>'[5]3.15. VAR'!#REF!</f>
        <v>#REF!</v>
      </c>
      <c r="N145" s="10" t="e">
        <f>'[5]3.15. VAR'!#REF!</f>
        <v>#REF!</v>
      </c>
      <c r="O145" s="10" t="e">
        <f>'[5]3.15. VAR'!#REF!</f>
        <v>#REF!</v>
      </c>
      <c r="P145" s="60" t="e">
        <f>'[5]3.15. VAR'!#REF!</f>
        <v>#REF!</v>
      </c>
      <c r="Q145" s="10" t="e">
        <f>'[5]3.15. VAR'!#REF!</f>
        <v>#REF!</v>
      </c>
      <c r="R145" s="10" t="e">
        <f>'[5]3.15. VAR'!#REF!</f>
        <v>#REF!</v>
      </c>
      <c r="S145" s="10" t="e">
        <f>'[5]3.15. VAR'!#REF!</f>
        <v>#REF!</v>
      </c>
      <c r="T145" s="11" t="e">
        <f>'[5]3.15. VAR'!#REF!</f>
        <v>#REF!</v>
      </c>
      <c r="U145" s="11" t="e">
        <f>'[5]3.15. VAR'!#REF!</f>
        <v>#REF!</v>
      </c>
    </row>
    <row r="146" spans="1:21" customFormat="1" ht="28" hidden="1">
      <c r="A146" s="129" t="s">
        <v>110</v>
      </c>
      <c r="B146" s="192" t="s">
        <v>111</v>
      </c>
      <c r="C146" s="171"/>
      <c r="D146" s="130"/>
      <c r="E146" s="131"/>
      <c r="F146" s="131"/>
      <c r="G146" s="131"/>
      <c r="H146" s="130"/>
      <c r="I146" s="131"/>
      <c r="J146" s="131"/>
      <c r="K146" s="132"/>
      <c r="L146" s="131"/>
      <c r="M146" s="131"/>
      <c r="N146" s="131"/>
      <c r="O146" s="131"/>
      <c r="P146" s="130"/>
      <c r="Q146" s="131"/>
      <c r="R146" s="131"/>
      <c r="S146" s="131"/>
      <c r="T146" s="132"/>
      <c r="U146" s="132"/>
    </row>
    <row r="147" spans="1:21" customFormat="1" ht="28" hidden="1">
      <c r="A147" s="66"/>
      <c r="B147" s="2" t="s">
        <v>322</v>
      </c>
      <c r="C147" s="153" t="s">
        <v>298</v>
      </c>
      <c r="D147" s="59">
        <v>21319.541936244706</v>
      </c>
      <c r="E147" s="5">
        <v>26477.118541033429</v>
      </c>
      <c r="F147" s="5">
        <v>28701.5</v>
      </c>
      <c r="G147" s="5">
        <v>23725.507140646801</v>
      </c>
      <c r="H147" s="59">
        <v>13886.4</v>
      </c>
      <c r="I147" s="5">
        <v>19650.8</v>
      </c>
      <c r="J147" s="5">
        <v>25546.04</v>
      </c>
      <c r="K147" s="6">
        <v>26312.421200000001</v>
      </c>
      <c r="L147" s="5">
        <v>26970.23173</v>
      </c>
      <c r="M147" s="5">
        <v>27509.636364599999</v>
      </c>
      <c r="N147" s="5">
        <v>28059.829091891999</v>
      </c>
      <c r="O147" s="5">
        <v>28059.829091891999</v>
      </c>
      <c r="P147" s="59">
        <v>28059.829091891999</v>
      </c>
      <c r="Q147" s="5">
        <v>28059.829091891999</v>
      </c>
      <c r="R147" s="5">
        <v>28059.829091891999</v>
      </c>
      <c r="S147" s="5">
        <v>28059.829091891999</v>
      </c>
      <c r="T147" s="6">
        <v>28059.829091891999</v>
      </c>
      <c r="U147" s="6">
        <v>28059.829091891999</v>
      </c>
    </row>
    <row r="148" spans="1:21" customFormat="1" ht="14" hidden="1">
      <c r="A148" s="66"/>
      <c r="B148" s="193" t="s">
        <v>323</v>
      </c>
      <c r="C148" s="153" t="s">
        <v>224</v>
      </c>
      <c r="D148" s="59">
        <v>530</v>
      </c>
      <c r="E148" s="5">
        <v>179.9</v>
      </c>
      <c r="F148" s="5">
        <v>505.2</v>
      </c>
      <c r="G148" s="5">
        <v>267.8</v>
      </c>
      <c r="H148" s="59">
        <v>565.5</v>
      </c>
      <c r="I148" s="5">
        <v>634.29999999999995</v>
      </c>
      <c r="J148" s="5">
        <v>691.13</v>
      </c>
      <c r="K148" s="6">
        <v>718.77520000000004</v>
      </c>
      <c r="L148" s="5">
        <v>754.71396000000004</v>
      </c>
      <c r="M148" s="5">
        <v>799.99679760000004</v>
      </c>
      <c r="N148" s="5">
        <v>847.996605456</v>
      </c>
      <c r="O148" s="5">
        <v>847.996605456</v>
      </c>
      <c r="P148" s="59">
        <v>847.996605456</v>
      </c>
      <c r="Q148" s="5">
        <v>847.996605456</v>
      </c>
      <c r="R148" s="5">
        <v>847.996605456</v>
      </c>
      <c r="S148" s="5">
        <v>847.996605456</v>
      </c>
      <c r="T148" s="6">
        <v>847.996605456</v>
      </c>
      <c r="U148" s="6">
        <v>847.996605456</v>
      </c>
    </row>
    <row r="149" spans="1:21" customFormat="1" ht="28" hidden="1">
      <c r="A149" s="66"/>
      <c r="B149" s="193" t="s">
        <v>324</v>
      </c>
      <c r="C149" s="153" t="s">
        <v>224</v>
      </c>
      <c r="D149" s="59">
        <v>483.9</v>
      </c>
      <c r="E149" s="5">
        <v>389.9</v>
      </c>
      <c r="F149" s="5">
        <v>234.1</v>
      </c>
      <c r="G149" s="5">
        <v>216</v>
      </c>
      <c r="H149" s="59">
        <v>219.6</v>
      </c>
      <c r="I149" s="5">
        <v>170.1</v>
      </c>
      <c r="J149" s="5">
        <v>178.60499999999999</v>
      </c>
      <c r="K149" s="6">
        <v>196.46549999999999</v>
      </c>
      <c r="L149" s="5">
        <v>208.25342999999998</v>
      </c>
      <c r="M149" s="5">
        <v>222.83117009999998</v>
      </c>
      <c r="N149" s="5">
        <v>240.65766370799997</v>
      </c>
      <c r="O149" s="5">
        <v>240.65766370799997</v>
      </c>
      <c r="P149" s="59">
        <v>240.65766370799997</v>
      </c>
      <c r="Q149" s="5">
        <v>240.65766370799997</v>
      </c>
      <c r="R149" s="5">
        <v>240.65766370799997</v>
      </c>
      <c r="S149" s="5">
        <v>240.65766370799997</v>
      </c>
      <c r="T149" s="6">
        <v>240.65766370799997</v>
      </c>
      <c r="U149" s="6">
        <v>240.65766370799997</v>
      </c>
    </row>
    <row r="150" spans="1:21" customFormat="1" ht="28" hidden="1">
      <c r="A150" s="129" t="s">
        <v>112</v>
      </c>
      <c r="B150" s="192" t="s">
        <v>113</v>
      </c>
      <c r="C150" s="171"/>
      <c r="D150" s="130"/>
      <c r="E150" s="131"/>
      <c r="F150" s="131"/>
      <c r="G150" s="131"/>
      <c r="H150" s="130"/>
      <c r="I150" s="131"/>
      <c r="J150" s="131"/>
      <c r="K150" s="132"/>
      <c r="L150" s="131"/>
      <c r="M150" s="131"/>
      <c r="N150" s="131"/>
      <c r="O150" s="131"/>
      <c r="P150" s="130"/>
      <c r="Q150" s="131"/>
      <c r="R150" s="131"/>
      <c r="S150" s="131"/>
      <c r="T150" s="132"/>
      <c r="U150" s="132"/>
    </row>
    <row r="151" spans="1:21" customFormat="1" ht="42" hidden="1">
      <c r="A151" s="67"/>
      <c r="B151" s="7" t="s">
        <v>325</v>
      </c>
      <c r="C151" s="154" t="s">
        <v>277</v>
      </c>
      <c r="D151" s="60">
        <v>28394</v>
      </c>
      <c r="E151" s="10">
        <v>5020</v>
      </c>
      <c r="F151" s="10">
        <v>36125</v>
      </c>
      <c r="G151" s="10">
        <v>121</v>
      </c>
      <c r="H151" s="60">
        <v>18572</v>
      </c>
      <c r="I151" s="10">
        <v>8667</v>
      </c>
      <c r="J151" s="10">
        <v>8927</v>
      </c>
      <c r="K151" s="11">
        <v>9106</v>
      </c>
      <c r="L151" s="10">
        <v>9561</v>
      </c>
      <c r="M151" s="10">
        <v>10230</v>
      </c>
      <c r="N151" s="10">
        <v>11048</v>
      </c>
      <c r="O151" s="10">
        <v>11048</v>
      </c>
      <c r="P151" s="60">
        <v>11048</v>
      </c>
      <c r="Q151" s="10">
        <v>11048</v>
      </c>
      <c r="R151" s="10">
        <v>11048</v>
      </c>
      <c r="S151" s="10">
        <v>11048</v>
      </c>
      <c r="T151" s="11">
        <v>11048</v>
      </c>
      <c r="U151" s="11">
        <v>11048</v>
      </c>
    </row>
    <row r="152" spans="1:21" customFormat="1" ht="14" hidden="1">
      <c r="A152" s="129" t="s">
        <v>114</v>
      </c>
      <c r="B152" s="192" t="s">
        <v>115</v>
      </c>
      <c r="C152" s="171"/>
      <c r="D152" s="130"/>
      <c r="E152" s="131"/>
      <c r="F152" s="131"/>
      <c r="G152" s="131"/>
      <c r="H152" s="130"/>
      <c r="I152" s="131"/>
      <c r="J152" s="131"/>
      <c r="K152" s="132"/>
      <c r="L152" s="131"/>
      <c r="M152" s="131"/>
      <c r="N152" s="131"/>
      <c r="O152" s="131"/>
      <c r="P152" s="130"/>
      <c r="Q152" s="131"/>
      <c r="R152" s="131"/>
      <c r="S152" s="131"/>
      <c r="T152" s="132"/>
      <c r="U152" s="132"/>
    </row>
    <row r="153" spans="1:21" customFormat="1" ht="28" hidden="1">
      <c r="A153" s="66"/>
      <c r="B153" s="193" t="s">
        <v>326</v>
      </c>
      <c r="C153" s="153" t="s">
        <v>277</v>
      </c>
      <c r="D153" s="59">
        <v>111</v>
      </c>
      <c r="E153" s="5">
        <v>146</v>
      </c>
      <c r="F153" s="5">
        <v>451</v>
      </c>
      <c r="G153" s="5">
        <v>381</v>
      </c>
      <c r="H153" s="59">
        <v>1254</v>
      </c>
      <c r="I153" s="5">
        <v>678</v>
      </c>
      <c r="J153" s="5">
        <v>698</v>
      </c>
      <c r="K153" s="6">
        <v>733</v>
      </c>
      <c r="L153" s="5">
        <v>759</v>
      </c>
      <c r="M153" s="5">
        <v>808</v>
      </c>
      <c r="N153" s="5">
        <v>828</v>
      </c>
      <c r="O153" s="5">
        <v>828</v>
      </c>
      <c r="P153" s="59">
        <v>828</v>
      </c>
      <c r="Q153" s="5">
        <v>828</v>
      </c>
      <c r="R153" s="5">
        <v>828</v>
      </c>
      <c r="S153" s="5">
        <v>828</v>
      </c>
      <c r="T153" s="6">
        <v>828</v>
      </c>
      <c r="U153" s="6">
        <v>828</v>
      </c>
    </row>
    <row r="154" spans="1:21" customFormat="1" ht="42" hidden="1">
      <c r="A154" s="66"/>
      <c r="B154" s="193" t="s">
        <v>327</v>
      </c>
      <c r="C154" s="153" t="s">
        <v>277</v>
      </c>
      <c r="D154" s="59">
        <v>15</v>
      </c>
      <c r="E154" s="5">
        <v>36</v>
      </c>
      <c r="F154" s="5">
        <v>0</v>
      </c>
      <c r="G154" s="5">
        <v>124</v>
      </c>
      <c r="H154" s="59">
        <v>0</v>
      </c>
      <c r="I154" s="5">
        <v>513</v>
      </c>
      <c r="J154" s="5">
        <v>520</v>
      </c>
      <c r="K154" s="6">
        <v>533</v>
      </c>
      <c r="L154" s="5">
        <v>559</v>
      </c>
      <c r="M154" s="5">
        <v>585</v>
      </c>
      <c r="N154" s="5">
        <v>597</v>
      </c>
      <c r="O154" s="5">
        <v>597</v>
      </c>
      <c r="P154" s="59">
        <v>597</v>
      </c>
      <c r="Q154" s="5">
        <v>597</v>
      </c>
      <c r="R154" s="5">
        <v>597</v>
      </c>
      <c r="S154" s="5">
        <v>597</v>
      </c>
      <c r="T154" s="6">
        <v>597</v>
      </c>
      <c r="U154" s="6">
        <v>597</v>
      </c>
    </row>
    <row r="155" spans="1:21" customFormat="1" ht="28" hidden="1">
      <c r="A155" s="66"/>
      <c r="B155" s="193" t="s">
        <v>328</v>
      </c>
      <c r="C155" s="153" t="s">
        <v>277</v>
      </c>
      <c r="D155" s="59">
        <v>13</v>
      </c>
      <c r="E155" s="5">
        <v>21</v>
      </c>
      <c r="F155" s="5">
        <v>0</v>
      </c>
      <c r="G155" s="5">
        <v>24</v>
      </c>
      <c r="H155" s="59">
        <v>0</v>
      </c>
      <c r="I155" s="5">
        <v>251</v>
      </c>
      <c r="J155" s="5">
        <v>258</v>
      </c>
      <c r="K155" s="6">
        <v>270</v>
      </c>
      <c r="L155" s="5">
        <v>280</v>
      </c>
      <c r="M155" s="5">
        <v>290</v>
      </c>
      <c r="N155" s="5">
        <v>300</v>
      </c>
      <c r="O155" s="5">
        <v>300</v>
      </c>
      <c r="P155" s="59">
        <v>300</v>
      </c>
      <c r="Q155" s="5">
        <v>300</v>
      </c>
      <c r="R155" s="5">
        <v>300</v>
      </c>
      <c r="S155" s="5">
        <v>300</v>
      </c>
      <c r="T155" s="6">
        <v>300</v>
      </c>
      <c r="U155" s="6">
        <v>300</v>
      </c>
    </row>
    <row r="156" spans="1:21" customFormat="1" ht="42" hidden="1">
      <c r="A156" s="66"/>
      <c r="B156" s="193" t="s">
        <v>329</v>
      </c>
      <c r="C156" s="153" t="s">
        <v>224</v>
      </c>
      <c r="D156" s="59">
        <v>6141.1</v>
      </c>
      <c r="E156" s="5">
        <v>5155</v>
      </c>
      <c r="F156" s="5">
        <v>4582.8</v>
      </c>
      <c r="G156" s="5">
        <v>2333.6999999999998</v>
      </c>
      <c r="H156" s="59">
        <v>4466.7</v>
      </c>
      <c r="I156" s="5">
        <v>2635.5</v>
      </c>
      <c r="J156" s="5">
        <v>2793.63</v>
      </c>
      <c r="K156" s="6">
        <v>2989.1840999999999</v>
      </c>
      <c r="L156" s="5">
        <v>3228.3188279999999</v>
      </c>
      <c r="M156" s="5">
        <v>3518.86752252</v>
      </c>
      <c r="N156" s="5">
        <v>3870.7542747719999</v>
      </c>
      <c r="O156" s="5">
        <v>3870.7542747719999</v>
      </c>
      <c r="P156" s="59">
        <v>3870.7542747719999</v>
      </c>
      <c r="Q156" s="5">
        <v>3870.7542747719999</v>
      </c>
      <c r="R156" s="5">
        <v>3870.7542747719999</v>
      </c>
      <c r="S156" s="5">
        <v>3870.7542747719999</v>
      </c>
      <c r="T156" s="6">
        <v>3870.7542747719999</v>
      </c>
      <c r="U156" s="6">
        <v>3870.7542747719999</v>
      </c>
    </row>
    <row r="157" spans="1:21" customFormat="1" ht="14" hidden="1">
      <c r="A157" s="66"/>
      <c r="B157" s="193" t="s">
        <v>330</v>
      </c>
      <c r="C157" s="153" t="s">
        <v>277</v>
      </c>
      <c r="D157" s="59">
        <v>6662</v>
      </c>
      <c r="E157" s="5">
        <v>3690</v>
      </c>
      <c r="F157" s="5">
        <v>2798</v>
      </c>
      <c r="G157" s="5">
        <v>2209</v>
      </c>
      <c r="H157" s="59">
        <v>2037</v>
      </c>
      <c r="I157" s="5">
        <v>1407</v>
      </c>
      <c r="J157" s="5">
        <v>1444</v>
      </c>
      <c r="K157" s="6">
        <v>1510</v>
      </c>
      <c r="L157" s="5">
        <v>1550</v>
      </c>
      <c r="M157" s="5">
        <v>1600</v>
      </c>
      <c r="N157" s="5">
        <v>1620</v>
      </c>
      <c r="O157" s="5">
        <v>1620</v>
      </c>
      <c r="P157" s="59">
        <v>1620</v>
      </c>
      <c r="Q157" s="5">
        <v>1620</v>
      </c>
      <c r="R157" s="5">
        <v>1620</v>
      </c>
      <c r="S157" s="5">
        <v>1620</v>
      </c>
      <c r="T157" s="6">
        <v>1620</v>
      </c>
      <c r="U157" s="6">
        <v>1620</v>
      </c>
    </row>
    <row r="158" spans="1:21" customFormat="1" ht="56" hidden="1">
      <c r="A158" s="67"/>
      <c r="B158" s="196" t="s">
        <v>331</v>
      </c>
      <c r="C158" s="154" t="s">
        <v>277</v>
      </c>
      <c r="D158" s="60">
        <v>1510</v>
      </c>
      <c r="E158" s="10">
        <v>2099</v>
      </c>
      <c r="F158" s="10">
        <v>356</v>
      </c>
      <c r="G158" s="10">
        <v>35084</v>
      </c>
      <c r="H158" s="60">
        <v>54338</v>
      </c>
      <c r="I158" s="10">
        <v>124407</v>
      </c>
      <c r="J158" s="10">
        <v>125651</v>
      </c>
      <c r="K158" s="11">
        <v>128164</v>
      </c>
      <c r="L158" s="10">
        <v>130727</v>
      </c>
      <c r="M158" s="10">
        <v>132035</v>
      </c>
      <c r="N158" s="10">
        <v>133355</v>
      </c>
      <c r="O158" s="10">
        <v>133355</v>
      </c>
      <c r="P158" s="60">
        <v>133355</v>
      </c>
      <c r="Q158" s="10">
        <v>133355</v>
      </c>
      <c r="R158" s="10">
        <v>133355</v>
      </c>
      <c r="S158" s="10">
        <v>133355</v>
      </c>
      <c r="T158" s="11">
        <v>133355</v>
      </c>
      <c r="U158" s="11">
        <v>133355</v>
      </c>
    </row>
    <row r="159" spans="1:21" customFormat="1" ht="28" hidden="1">
      <c r="A159" s="129" t="s">
        <v>116</v>
      </c>
      <c r="B159" s="192" t="s">
        <v>117</v>
      </c>
      <c r="C159" s="171"/>
      <c r="D159" s="130"/>
      <c r="E159" s="131"/>
      <c r="F159" s="131"/>
      <c r="G159" s="131"/>
      <c r="H159" s="130"/>
      <c r="I159" s="131"/>
      <c r="J159" s="131"/>
      <c r="K159" s="132"/>
      <c r="L159" s="131"/>
      <c r="M159" s="131"/>
      <c r="N159" s="131"/>
      <c r="O159" s="131"/>
      <c r="P159" s="130"/>
      <c r="Q159" s="131"/>
      <c r="R159" s="131"/>
      <c r="S159" s="131"/>
      <c r="T159" s="132"/>
      <c r="U159" s="132"/>
    </row>
    <row r="160" spans="1:21" customFormat="1" ht="28" hidden="1">
      <c r="A160" s="66"/>
      <c r="B160" s="193" t="s">
        <v>332</v>
      </c>
      <c r="C160" s="153" t="s">
        <v>298</v>
      </c>
      <c r="D160" s="59">
        <v>26851</v>
      </c>
      <c r="E160" s="5">
        <v>24022.6</v>
      </c>
      <c r="F160" s="5">
        <v>8802.7000000000007</v>
      </c>
      <c r="G160" s="5">
        <v>10409.299999999999</v>
      </c>
      <c r="H160" s="59">
        <v>7736.9</v>
      </c>
      <c r="I160" s="5">
        <v>7078.4</v>
      </c>
      <c r="J160" s="5">
        <v>7555</v>
      </c>
      <c r="K160" s="6">
        <v>8100</v>
      </c>
      <c r="L160" s="5">
        <v>8490</v>
      </c>
      <c r="M160" s="5">
        <v>8990</v>
      </c>
      <c r="N160" s="5">
        <v>9015</v>
      </c>
      <c r="O160" s="5">
        <v>9015</v>
      </c>
      <c r="P160" s="59">
        <v>9015</v>
      </c>
      <c r="Q160" s="5">
        <v>9015</v>
      </c>
      <c r="R160" s="5">
        <v>9015</v>
      </c>
      <c r="S160" s="5">
        <v>9015</v>
      </c>
      <c r="T160" s="6">
        <v>9015</v>
      </c>
      <c r="U160" s="6">
        <v>9015</v>
      </c>
    </row>
    <row r="161" spans="1:21" customFormat="1" ht="14" hidden="1">
      <c r="A161" s="66"/>
      <c r="B161" s="193" t="s">
        <v>333</v>
      </c>
      <c r="C161" s="153" t="s">
        <v>277</v>
      </c>
      <c r="D161" s="59">
        <v>52645</v>
      </c>
      <c r="E161" s="5">
        <v>53066</v>
      </c>
      <c r="F161" s="5">
        <v>41446</v>
      </c>
      <c r="G161" s="5">
        <v>24040</v>
      </c>
      <c r="H161" s="59">
        <v>20873</v>
      </c>
      <c r="I161" s="5">
        <f>'[5]3.19. VAR'!R14</f>
        <v>1242</v>
      </c>
      <c r="J161" s="5">
        <f>'[5]3.19. VAR'!S14</f>
        <v>807</v>
      </c>
      <c r="K161" s="6">
        <f>'[5]3.19. VAR'!T14</f>
        <v>300</v>
      </c>
      <c r="L161" s="5">
        <f>'[5]3.19. VAR'!U14</f>
        <v>651</v>
      </c>
      <c r="M161" s="5">
        <f>'[5]3.19. VAR'!V14</f>
        <v>588</v>
      </c>
      <c r="N161" s="5">
        <f>'[5]3.19. VAR'!W14</f>
        <v>662</v>
      </c>
      <c r="O161" s="5">
        <f>'[5]3.19. VAR'!X14</f>
        <v>623</v>
      </c>
      <c r="P161" s="59">
        <f>'[5]3.19. VAR'!Y14</f>
        <v>655</v>
      </c>
      <c r="Q161" s="5">
        <f>'[5]3.19. VAR'!Z14</f>
        <v>650</v>
      </c>
      <c r="R161" s="5">
        <f>'[5]3.19. VAR'!AA14</f>
        <v>700</v>
      </c>
      <c r="S161" s="5">
        <f>'[5]3.19. VAR'!AB14</f>
        <v>730</v>
      </c>
      <c r="T161" s="6">
        <f>'[5]3.19. VAR'!AC14</f>
        <v>680</v>
      </c>
      <c r="U161" s="6">
        <f>'[5]3.19. VAR'!AD14</f>
        <v>681</v>
      </c>
    </row>
    <row r="162" spans="1:21" customFormat="1" ht="14" hidden="1">
      <c r="A162" s="66"/>
      <c r="B162" s="193" t="s">
        <v>334</v>
      </c>
      <c r="C162" s="153" t="s">
        <v>277</v>
      </c>
      <c r="D162" s="59">
        <v>739</v>
      </c>
      <c r="E162" s="5">
        <v>1265</v>
      </c>
      <c r="F162" s="5">
        <v>955</v>
      </c>
      <c r="G162" s="5">
        <v>1034</v>
      </c>
      <c r="H162" s="59">
        <v>1421</v>
      </c>
      <c r="I162" s="5" t="e">
        <f>'[5]3.19. VAR'!#REF!</f>
        <v>#REF!</v>
      </c>
      <c r="J162" s="5" t="e">
        <f>'[5]3.19. VAR'!#REF!</f>
        <v>#REF!</v>
      </c>
      <c r="K162" s="6" t="e">
        <f>'[5]3.19. VAR'!#REF!</f>
        <v>#REF!</v>
      </c>
      <c r="L162" s="5" t="e">
        <f>'[5]3.19. VAR'!#REF!</f>
        <v>#REF!</v>
      </c>
      <c r="M162" s="5" t="e">
        <f>'[5]3.19. VAR'!#REF!</f>
        <v>#REF!</v>
      </c>
      <c r="N162" s="5" t="e">
        <f>'[5]3.19. VAR'!#REF!</f>
        <v>#REF!</v>
      </c>
      <c r="O162" s="5" t="e">
        <f>'[5]3.19. VAR'!#REF!</f>
        <v>#REF!</v>
      </c>
      <c r="P162" s="59" t="e">
        <f>'[5]3.19. VAR'!#REF!</f>
        <v>#REF!</v>
      </c>
      <c r="Q162" s="5" t="e">
        <f>'[5]3.19. VAR'!#REF!</f>
        <v>#REF!</v>
      </c>
      <c r="R162" s="5" t="e">
        <f>'[5]3.19. VAR'!#REF!</f>
        <v>#REF!</v>
      </c>
      <c r="S162" s="5" t="e">
        <f>'[5]3.19. VAR'!#REF!</f>
        <v>#REF!</v>
      </c>
      <c r="T162" s="6" t="e">
        <f>'[5]3.19. VAR'!#REF!</f>
        <v>#REF!</v>
      </c>
      <c r="U162" s="6" t="e">
        <f>'[5]3.19. VAR'!#REF!</f>
        <v>#REF!</v>
      </c>
    </row>
    <row r="163" spans="1:21" customFormat="1" ht="14" hidden="1">
      <c r="A163" s="129" t="s">
        <v>36</v>
      </c>
      <c r="B163" s="192" t="s">
        <v>118</v>
      </c>
      <c r="C163" s="171"/>
      <c r="D163" s="130"/>
      <c r="E163" s="131"/>
      <c r="F163" s="131"/>
      <c r="G163" s="131"/>
      <c r="H163" s="130"/>
      <c r="I163" s="131"/>
      <c r="J163" s="131"/>
      <c r="K163" s="132"/>
      <c r="L163" s="131"/>
      <c r="M163" s="131"/>
      <c r="N163" s="131"/>
      <c r="O163" s="131"/>
      <c r="P163" s="130"/>
      <c r="Q163" s="131"/>
      <c r="R163" s="131"/>
      <c r="S163" s="131"/>
      <c r="T163" s="132"/>
      <c r="U163" s="132"/>
    </row>
    <row r="164" spans="1:21" customFormat="1" ht="14" hidden="1">
      <c r="A164" s="66"/>
      <c r="B164" s="193" t="s">
        <v>335</v>
      </c>
      <c r="C164" s="153" t="s">
        <v>277</v>
      </c>
      <c r="D164" s="59">
        <v>246</v>
      </c>
      <c r="E164" s="5">
        <v>284</v>
      </c>
      <c r="F164" s="5">
        <v>395</v>
      </c>
      <c r="G164" s="5">
        <v>709</v>
      </c>
      <c r="H164" s="59">
        <v>7</v>
      </c>
      <c r="I164" s="5">
        <f>'[5]3.19. VAR'!R15</f>
        <v>31627.8</v>
      </c>
      <c r="J164" s="5">
        <f>'[5]3.19. VAR'!S15</f>
        <v>32509.9</v>
      </c>
      <c r="K164" s="6">
        <f>'[5]3.19. VAR'!T15</f>
        <v>32027.200000000001</v>
      </c>
      <c r="L164" s="5">
        <f>'[5]3.19. VAR'!U15</f>
        <v>25067.4</v>
      </c>
      <c r="M164" s="5">
        <f>'[5]3.19. VAR'!V15</f>
        <v>42703</v>
      </c>
      <c r="N164" s="5">
        <f>'[5]3.19. VAR'!W15</f>
        <v>61515.5</v>
      </c>
      <c r="O164" s="5">
        <f>'[5]3.19. VAR'!X15</f>
        <v>27453.3</v>
      </c>
      <c r="P164" s="59">
        <f>'[5]3.19. VAR'!Y15</f>
        <v>27453.3</v>
      </c>
      <c r="Q164" s="5">
        <f>'[5]3.19. VAR'!Z15</f>
        <v>27453.3</v>
      </c>
      <c r="R164" s="5">
        <f>'[5]3.19. VAR'!AA15</f>
        <v>27453.3</v>
      </c>
      <c r="S164" s="5">
        <f>'[5]3.19. VAR'!AB15</f>
        <v>27453.3</v>
      </c>
      <c r="T164" s="6">
        <f>'[5]3.19. VAR'!AC15</f>
        <v>27453.3</v>
      </c>
      <c r="U164" s="6">
        <f>'[5]3.19. VAR'!AD15</f>
        <v>27453.3</v>
      </c>
    </row>
    <row r="165" spans="1:21" customFormat="1" ht="14" hidden="1">
      <c r="A165" s="66"/>
      <c r="B165" s="193" t="s">
        <v>336</v>
      </c>
      <c r="C165" s="153" t="s">
        <v>277</v>
      </c>
      <c r="D165" s="59">
        <v>23</v>
      </c>
      <c r="E165" s="5">
        <v>56</v>
      </c>
      <c r="F165" s="5">
        <v>308</v>
      </c>
      <c r="G165" s="5">
        <v>143</v>
      </c>
      <c r="H165" s="59">
        <v>3</v>
      </c>
      <c r="I165" s="5" t="e">
        <f>'[5]3.19. VAR'!#REF!</f>
        <v>#REF!</v>
      </c>
      <c r="J165" s="5" t="e">
        <f>'[5]3.19. VAR'!#REF!</f>
        <v>#REF!</v>
      </c>
      <c r="K165" s="6" t="e">
        <f>'[5]3.19. VAR'!#REF!</f>
        <v>#REF!</v>
      </c>
      <c r="L165" s="5" t="e">
        <f>'[5]3.19. VAR'!#REF!</f>
        <v>#REF!</v>
      </c>
      <c r="M165" s="5" t="e">
        <f>'[5]3.19. VAR'!#REF!</f>
        <v>#REF!</v>
      </c>
      <c r="N165" s="5" t="e">
        <f>'[5]3.19. VAR'!#REF!</f>
        <v>#REF!</v>
      </c>
      <c r="O165" s="5" t="e">
        <f>'[5]3.19. VAR'!#REF!</f>
        <v>#REF!</v>
      </c>
      <c r="P165" s="59" t="e">
        <f>'[5]3.19. VAR'!#REF!</f>
        <v>#REF!</v>
      </c>
      <c r="Q165" s="5" t="e">
        <f>'[5]3.19. VAR'!#REF!</f>
        <v>#REF!</v>
      </c>
      <c r="R165" s="5" t="e">
        <f>'[5]3.19. VAR'!#REF!</f>
        <v>#REF!</v>
      </c>
      <c r="S165" s="5" t="e">
        <f>'[5]3.19. VAR'!#REF!</f>
        <v>#REF!</v>
      </c>
      <c r="T165" s="6" t="e">
        <f>'[5]3.19. VAR'!#REF!</f>
        <v>#REF!</v>
      </c>
      <c r="U165" s="6" t="e">
        <f>'[5]3.19. VAR'!#REF!</f>
        <v>#REF!</v>
      </c>
    </row>
    <row r="166" spans="1:21" customFormat="1" ht="14" hidden="1">
      <c r="A166" s="67"/>
      <c r="B166" s="196" t="s">
        <v>337</v>
      </c>
      <c r="C166" s="154" t="s">
        <v>277</v>
      </c>
      <c r="D166" s="60">
        <v>424</v>
      </c>
      <c r="E166" s="10">
        <v>1861</v>
      </c>
      <c r="F166" s="10">
        <v>725</v>
      </c>
      <c r="G166" s="10">
        <v>270</v>
      </c>
      <c r="H166" s="60">
        <v>30</v>
      </c>
      <c r="I166" s="10">
        <f>'[5]3.19. VAR'!R19</f>
        <v>4506</v>
      </c>
      <c r="J166" s="10">
        <f>'[5]3.19. VAR'!S19</f>
        <v>7475</v>
      </c>
      <c r="K166" s="11">
        <f>'[5]3.19. VAR'!T19</f>
        <v>4297</v>
      </c>
      <c r="L166" s="10">
        <f>'[5]3.19. VAR'!U19</f>
        <v>4804</v>
      </c>
      <c r="M166" s="10">
        <f>'[5]3.19. VAR'!V19</f>
        <v>5422</v>
      </c>
      <c r="N166" s="10">
        <f>'[5]3.19. VAR'!W19</f>
        <v>5655</v>
      </c>
      <c r="O166" s="10">
        <f>'[5]3.19. VAR'!X19</f>
        <v>6162</v>
      </c>
      <c r="P166" s="60">
        <f>'[5]3.19. VAR'!Y19</f>
        <v>6300</v>
      </c>
      <c r="Q166" s="10">
        <f>'[5]3.19. VAR'!Z19</f>
        <v>6500</v>
      </c>
      <c r="R166" s="10">
        <f>'[5]3.19. VAR'!AA19</f>
        <v>6800</v>
      </c>
      <c r="S166" s="10">
        <f>'[5]3.19. VAR'!AB19</f>
        <v>7000</v>
      </c>
      <c r="T166" s="11">
        <f>'[5]3.19. VAR'!AC19</f>
        <v>7200</v>
      </c>
      <c r="U166" s="11">
        <f>'[5]3.19. VAR'!AD19</f>
        <v>7201</v>
      </c>
    </row>
    <row r="167" spans="1:21" customFormat="1" ht="14" hidden="1">
      <c r="A167" s="129" t="s">
        <v>35</v>
      </c>
      <c r="B167" s="192" t="s">
        <v>119</v>
      </c>
      <c r="C167" s="171"/>
      <c r="D167" s="130"/>
      <c r="E167" s="131"/>
      <c r="F167" s="131"/>
      <c r="G167" s="131"/>
      <c r="H167" s="130"/>
      <c r="I167" s="131"/>
      <c r="J167" s="131"/>
      <c r="K167" s="132"/>
      <c r="L167" s="131"/>
      <c r="M167" s="131"/>
      <c r="N167" s="131"/>
      <c r="O167" s="131"/>
      <c r="P167" s="130"/>
      <c r="Q167" s="131"/>
      <c r="R167" s="131"/>
      <c r="S167" s="131"/>
      <c r="T167" s="132"/>
      <c r="U167" s="132"/>
    </row>
    <row r="168" spans="1:21" customFormat="1" ht="56" hidden="1">
      <c r="A168" s="66"/>
      <c r="B168" s="193" t="s">
        <v>338</v>
      </c>
      <c r="C168" s="153" t="s">
        <v>298</v>
      </c>
      <c r="D168" s="59">
        <v>2039.8</v>
      </c>
      <c r="E168" s="5">
        <v>1802.5</v>
      </c>
      <c r="F168" s="5">
        <v>1730.4</v>
      </c>
      <c r="G168" s="5">
        <v>2132</v>
      </c>
      <c r="H168" s="59">
        <v>3889.1</v>
      </c>
      <c r="I168" s="5">
        <v>3713.2</v>
      </c>
      <c r="J168" s="5">
        <v>3750</v>
      </c>
      <c r="K168" s="6">
        <v>3810</v>
      </c>
      <c r="L168" s="5">
        <v>3890</v>
      </c>
      <c r="M168" s="5">
        <v>3920</v>
      </c>
      <c r="N168" s="5">
        <v>3990</v>
      </c>
      <c r="O168" s="5">
        <v>3990</v>
      </c>
      <c r="P168" s="59">
        <v>3990</v>
      </c>
      <c r="Q168" s="5">
        <v>3990</v>
      </c>
      <c r="R168" s="5">
        <v>3990</v>
      </c>
      <c r="S168" s="5">
        <v>3990</v>
      </c>
      <c r="T168" s="6">
        <v>3990</v>
      </c>
      <c r="U168" s="6">
        <v>3990</v>
      </c>
    </row>
    <row r="169" spans="1:21" customFormat="1" ht="56" hidden="1">
      <c r="A169" s="67"/>
      <c r="B169" s="196" t="s">
        <v>339</v>
      </c>
      <c r="C169" s="154" t="s">
        <v>298</v>
      </c>
      <c r="D169" s="60">
        <v>9535.7999999999993</v>
      </c>
      <c r="E169" s="10">
        <v>10046.4</v>
      </c>
      <c r="F169" s="10">
        <v>9044.6</v>
      </c>
      <c r="G169" s="10">
        <v>8576</v>
      </c>
      <c r="H169" s="60">
        <v>8870.1</v>
      </c>
      <c r="I169" s="10">
        <v>380.6</v>
      </c>
      <c r="J169" s="10">
        <v>780</v>
      </c>
      <c r="K169" s="11">
        <v>1740</v>
      </c>
      <c r="L169" s="10">
        <v>2340</v>
      </c>
      <c r="M169" s="10">
        <v>3150</v>
      </c>
      <c r="N169" s="10">
        <v>4240</v>
      </c>
      <c r="O169" s="10">
        <v>4240</v>
      </c>
      <c r="P169" s="60">
        <v>4240</v>
      </c>
      <c r="Q169" s="10">
        <v>4240</v>
      </c>
      <c r="R169" s="10">
        <v>4240</v>
      </c>
      <c r="S169" s="10">
        <v>4240</v>
      </c>
      <c r="T169" s="11">
        <v>4240</v>
      </c>
      <c r="U169" s="11">
        <v>4240</v>
      </c>
    </row>
    <row r="170" spans="1:21" customFormat="1" ht="14" hidden="1">
      <c r="A170" s="67"/>
      <c r="B170" s="196" t="s">
        <v>340</v>
      </c>
      <c r="C170" s="154" t="s">
        <v>298</v>
      </c>
      <c r="D170" s="60">
        <v>8077</v>
      </c>
      <c r="E170" s="10">
        <v>1098.2</v>
      </c>
      <c r="F170" s="10">
        <v>2295.8000000000002</v>
      </c>
      <c r="G170" s="10">
        <v>2425.8000000000002</v>
      </c>
      <c r="H170" s="60">
        <v>666.5</v>
      </c>
      <c r="I170" s="10">
        <v>7120</v>
      </c>
      <c r="J170" s="10">
        <v>100</v>
      </c>
      <c r="K170" s="11">
        <v>300</v>
      </c>
      <c r="L170" s="10">
        <v>600</v>
      </c>
      <c r="M170" s="10">
        <v>1100</v>
      </c>
      <c r="N170" s="10">
        <v>1300</v>
      </c>
      <c r="O170" s="10">
        <v>1300</v>
      </c>
      <c r="P170" s="60">
        <v>1300</v>
      </c>
      <c r="Q170" s="10">
        <v>1300</v>
      </c>
      <c r="R170" s="10">
        <v>1300</v>
      </c>
      <c r="S170" s="10">
        <v>1300</v>
      </c>
      <c r="T170" s="11">
        <v>1300</v>
      </c>
      <c r="U170" s="11">
        <v>1300</v>
      </c>
    </row>
    <row r="171" spans="1:21" customFormat="1" ht="14" hidden="1">
      <c r="A171" s="182" t="s">
        <v>34</v>
      </c>
      <c r="B171" s="199" t="s">
        <v>120</v>
      </c>
      <c r="C171" s="183"/>
      <c r="D171" s="184"/>
      <c r="E171" s="185"/>
      <c r="F171" s="185"/>
      <c r="G171" s="185"/>
      <c r="H171" s="184"/>
      <c r="I171" s="185"/>
      <c r="J171" s="185"/>
      <c r="K171" s="186"/>
      <c r="L171" s="185"/>
      <c r="M171" s="185"/>
      <c r="N171" s="185"/>
      <c r="O171" s="185"/>
      <c r="P171" s="184"/>
      <c r="Q171" s="185"/>
      <c r="R171" s="185"/>
      <c r="S171" s="185"/>
      <c r="T171" s="186"/>
      <c r="U171" s="186"/>
    </row>
    <row r="172" spans="1:21" customFormat="1" ht="14" hidden="1">
      <c r="A172" s="66"/>
      <c r="B172" s="193" t="s">
        <v>341</v>
      </c>
      <c r="C172" s="153" t="s">
        <v>277</v>
      </c>
      <c r="D172" s="59">
        <v>36574</v>
      </c>
      <c r="E172" s="5">
        <v>7958</v>
      </c>
      <c r="F172" s="5">
        <v>11986</v>
      </c>
      <c r="G172" s="5">
        <v>10756</v>
      </c>
      <c r="H172" s="59">
        <v>17001</v>
      </c>
      <c r="I172" s="5">
        <v>27890</v>
      </c>
      <c r="J172" s="5">
        <v>33966</v>
      </c>
      <c r="K172" s="6">
        <v>42614</v>
      </c>
      <c r="L172" s="5">
        <v>51261</v>
      </c>
      <c r="M172" s="5">
        <v>59909</v>
      </c>
      <c r="N172" s="5">
        <v>68556</v>
      </c>
      <c r="O172" s="5">
        <v>68556</v>
      </c>
      <c r="P172" s="59">
        <v>68556</v>
      </c>
      <c r="Q172" s="5">
        <v>68556</v>
      </c>
      <c r="R172" s="5">
        <v>68556</v>
      </c>
      <c r="S172" s="5">
        <v>68556</v>
      </c>
      <c r="T172" s="6">
        <v>68556</v>
      </c>
      <c r="U172" s="6">
        <v>68556</v>
      </c>
    </row>
    <row r="173" spans="1:21" customFormat="1" ht="14" hidden="1">
      <c r="A173" s="66"/>
      <c r="B173" s="193" t="s">
        <v>342</v>
      </c>
      <c r="C173" s="153" t="s">
        <v>277</v>
      </c>
      <c r="D173" s="59">
        <v>1900</v>
      </c>
      <c r="E173" s="5">
        <v>751</v>
      </c>
      <c r="F173" s="5">
        <v>297</v>
      </c>
      <c r="G173" s="5">
        <v>358</v>
      </c>
      <c r="H173" s="59">
        <v>525</v>
      </c>
      <c r="I173" s="5">
        <v>2697</v>
      </c>
      <c r="J173" s="5">
        <v>3111</v>
      </c>
      <c r="K173" s="6">
        <v>3193</v>
      </c>
      <c r="L173" s="5">
        <v>3283</v>
      </c>
      <c r="M173" s="5">
        <v>3382</v>
      </c>
      <c r="N173" s="5">
        <v>3492</v>
      </c>
      <c r="O173" s="5">
        <v>3492</v>
      </c>
      <c r="P173" s="59">
        <v>3492</v>
      </c>
      <c r="Q173" s="5">
        <v>3492</v>
      </c>
      <c r="R173" s="5">
        <v>3492</v>
      </c>
      <c r="S173" s="5">
        <v>3492</v>
      </c>
      <c r="T173" s="6">
        <v>3492</v>
      </c>
      <c r="U173" s="6">
        <v>3492</v>
      </c>
    </row>
    <row r="174" spans="1:21" customFormat="1" ht="14" hidden="1">
      <c r="A174" s="66"/>
      <c r="B174" s="193" t="s">
        <v>343</v>
      </c>
      <c r="C174" s="153" t="s">
        <v>277</v>
      </c>
      <c r="D174" s="59">
        <v>38213</v>
      </c>
      <c r="E174" s="5">
        <v>6563</v>
      </c>
      <c r="F174" s="5">
        <v>5114</v>
      </c>
      <c r="G174" s="5">
        <v>5264</v>
      </c>
      <c r="H174" s="59">
        <v>5225</v>
      </c>
      <c r="I174" s="5">
        <v>15372</v>
      </c>
      <c r="J174" s="5">
        <v>15872</v>
      </c>
      <c r="K174" s="6">
        <v>17372</v>
      </c>
      <c r="L174" s="5">
        <v>19022</v>
      </c>
      <c r="M174" s="5">
        <v>20837</v>
      </c>
      <c r="N174" s="5">
        <v>22834</v>
      </c>
      <c r="O174" s="5">
        <v>22834</v>
      </c>
      <c r="P174" s="59">
        <v>22834</v>
      </c>
      <c r="Q174" s="5">
        <v>22834</v>
      </c>
      <c r="R174" s="5">
        <v>22834</v>
      </c>
      <c r="S174" s="5">
        <v>22834</v>
      </c>
      <c r="T174" s="6">
        <v>22834</v>
      </c>
      <c r="U174" s="6">
        <v>22834</v>
      </c>
    </row>
    <row r="175" spans="1:21" customFormat="1" ht="28" hidden="1">
      <c r="A175" s="67"/>
      <c r="B175" s="196" t="s">
        <v>344</v>
      </c>
      <c r="C175" s="154" t="s">
        <v>277</v>
      </c>
      <c r="D175" s="60">
        <v>7449</v>
      </c>
      <c r="E175" s="10">
        <v>8261</v>
      </c>
      <c r="F175" s="10">
        <v>7640</v>
      </c>
      <c r="G175" s="10">
        <v>5874</v>
      </c>
      <c r="H175" s="60">
        <v>6569</v>
      </c>
      <c r="I175" s="10">
        <v>9711</v>
      </c>
      <c r="J175" s="10">
        <v>11711</v>
      </c>
      <c r="K175" s="11">
        <v>12686</v>
      </c>
      <c r="L175" s="10">
        <v>13759</v>
      </c>
      <c r="M175" s="10">
        <v>14938</v>
      </c>
      <c r="N175" s="10">
        <v>16236</v>
      </c>
      <c r="O175" s="10">
        <v>16236</v>
      </c>
      <c r="P175" s="60">
        <v>16236</v>
      </c>
      <c r="Q175" s="10">
        <v>16236</v>
      </c>
      <c r="R175" s="10">
        <v>16236</v>
      </c>
      <c r="S175" s="10">
        <v>16236</v>
      </c>
      <c r="T175" s="11">
        <v>16236</v>
      </c>
      <c r="U175" s="11">
        <v>16236</v>
      </c>
    </row>
    <row r="176" spans="1:21" customFormat="1" ht="28" hidden="1">
      <c r="A176" s="129" t="s">
        <v>37</v>
      </c>
      <c r="B176" s="192" t="s">
        <v>121</v>
      </c>
      <c r="C176" s="171"/>
      <c r="D176" s="130"/>
      <c r="E176" s="131"/>
      <c r="F176" s="131"/>
      <c r="G176" s="131"/>
      <c r="H176" s="130"/>
      <c r="I176" s="131"/>
      <c r="J176" s="131"/>
      <c r="K176" s="132"/>
      <c r="L176" s="131"/>
      <c r="M176" s="131"/>
      <c r="N176" s="131"/>
      <c r="O176" s="131"/>
      <c r="P176" s="130"/>
      <c r="Q176" s="131"/>
      <c r="R176" s="131"/>
      <c r="S176" s="131"/>
      <c r="T176" s="132"/>
      <c r="U176" s="132"/>
    </row>
    <row r="177" spans="1:21" customFormat="1" ht="28" hidden="1">
      <c r="A177" s="67"/>
      <c r="B177" s="77" t="s">
        <v>345</v>
      </c>
      <c r="C177" s="154" t="s">
        <v>49</v>
      </c>
      <c r="D177" s="60">
        <v>135323.5</v>
      </c>
      <c r="E177" s="10">
        <v>239241.1</v>
      </c>
      <c r="F177" s="10">
        <v>608290.5</v>
      </c>
      <c r="G177" s="10">
        <v>619790.19999999995</v>
      </c>
      <c r="H177" s="60">
        <v>355452.2</v>
      </c>
      <c r="I177" s="10">
        <f>'[5]3.24.'!R9</f>
        <v>25347.3</v>
      </c>
      <c r="J177" s="10">
        <f>'[5]3.24.'!S9</f>
        <v>58340.2</v>
      </c>
      <c r="K177" s="11">
        <f>'[5]3.24.'!T9</f>
        <v>62346.8</v>
      </c>
      <c r="L177" s="10">
        <f>'[5]3.24.'!U9</f>
        <v>964.7</v>
      </c>
      <c r="M177" s="10">
        <f>'[5]3.24.'!V9</f>
        <v>7754.6</v>
      </c>
      <c r="N177" s="10">
        <f>'[5]3.24.'!W9</f>
        <v>19148.3</v>
      </c>
      <c r="O177" s="10">
        <f>'[5]3.24.'!X9</f>
        <v>48758.7</v>
      </c>
      <c r="P177" s="60">
        <f>'[5]3.24.'!Y9</f>
        <v>46320.764999999992</v>
      </c>
      <c r="Q177" s="10">
        <f>'[5]3.24.'!Z9</f>
        <v>48636.803249999997</v>
      </c>
      <c r="R177" s="10">
        <f>'[5]3.24.'!AA9</f>
        <v>51068.643412500001</v>
      </c>
      <c r="S177" s="10">
        <f>'[5]3.24.'!AB9</f>
        <v>54132.762017250003</v>
      </c>
      <c r="T177" s="11">
        <f>'[5]3.24.'!AC9</f>
        <v>56839.400118112506</v>
      </c>
      <c r="U177" s="11">
        <f>'[5]3.24.'!AD9</f>
        <v>59681.370124018133</v>
      </c>
    </row>
    <row r="178" spans="1:21" customFormat="1" ht="28" hidden="1">
      <c r="A178" s="129" t="s">
        <v>47</v>
      </c>
      <c r="B178" s="192" t="s">
        <v>48</v>
      </c>
      <c r="C178" s="171"/>
      <c r="D178" s="130"/>
      <c r="E178" s="131"/>
      <c r="F178" s="131"/>
      <c r="G178" s="131"/>
      <c r="H178" s="130"/>
      <c r="I178" s="131"/>
      <c r="J178" s="131"/>
      <c r="K178" s="132"/>
      <c r="L178" s="131"/>
      <c r="M178" s="131"/>
      <c r="N178" s="131"/>
      <c r="O178" s="131"/>
      <c r="P178" s="130"/>
      <c r="Q178" s="131"/>
      <c r="R178" s="131"/>
      <c r="S178" s="131"/>
      <c r="T178" s="132"/>
      <c r="U178" s="132"/>
    </row>
    <row r="179" spans="1:21" customFormat="1" ht="14" hidden="1">
      <c r="A179" s="66"/>
      <c r="B179" s="102" t="e">
        <f>'[5]3.23.'!#REF!</f>
        <v>#REF!</v>
      </c>
      <c r="C179" s="153" t="s">
        <v>49</v>
      </c>
      <c r="D179" s="59"/>
      <c r="E179" s="5"/>
      <c r="F179" s="5"/>
      <c r="G179" s="5"/>
      <c r="H179" s="59" t="e">
        <f>'[5]3.23.'!#REF!</f>
        <v>#REF!</v>
      </c>
      <c r="I179" s="5" t="e">
        <f>'[5]3.23.'!#REF!</f>
        <v>#REF!</v>
      </c>
      <c r="J179" s="5" t="e">
        <f>'[5]3.23.'!#REF!</f>
        <v>#REF!</v>
      </c>
      <c r="K179" s="6" t="e">
        <f>'[5]3.23.'!#REF!</f>
        <v>#REF!</v>
      </c>
      <c r="L179" s="5" t="e">
        <f>'[5]3.23.'!#REF!</f>
        <v>#REF!</v>
      </c>
      <c r="M179" s="5" t="e">
        <f>'[5]3.23.'!#REF!</f>
        <v>#REF!</v>
      </c>
      <c r="N179" s="5" t="e">
        <f>'[5]3.23.'!#REF!</f>
        <v>#REF!</v>
      </c>
      <c r="O179" s="5" t="e">
        <f>'[5]3.23.'!#REF!</f>
        <v>#REF!</v>
      </c>
      <c r="P179" s="59" t="e">
        <f>'[5]3.23.'!#REF!</f>
        <v>#REF!</v>
      </c>
      <c r="Q179" s="5" t="e">
        <f>'[5]3.23.'!#REF!</f>
        <v>#REF!</v>
      </c>
      <c r="R179" s="5" t="e">
        <f>'[5]3.23.'!#REF!</f>
        <v>#REF!</v>
      </c>
      <c r="S179" s="5" t="e">
        <f>'[5]3.23.'!#REF!</f>
        <v>#REF!</v>
      </c>
      <c r="T179" s="6" t="e">
        <f>'[5]3.23.'!#REF!</f>
        <v>#REF!</v>
      </c>
      <c r="U179" s="6" t="e">
        <f>'[5]3.23.'!#REF!</f>
        <v>#REF!</v>
      </c>
    </row>
    <row r="180" spans="1:21" customFormat="1" ht="56" hidden="1">
      <c r="A180" s="66"/>
      <c r="B180" s="77" t="str">
        <f>'[5]3.23.'!$C$10</f>
        <v>Zərgərlik məmulatları və qiymətli metallardan onların hissələri (qalvanik örtüklü, qızıla (gümüşə) tutulmuş metallar da daxil edilməklə)</v>
      </c>
      <c r="C180" s="154" t="s">
        <v>50</v>
      </c>
      <c r="D180" s="60"/>
      <c r="E180" s="10"/>
      <c r="F180" s="10"/>
      <c r="G180" s="10"/>
      <c r="H180" s="60">
        <f>'[5]3.23.'!Q10</f>
        <v>2671.1</v>
      </c>
      <c r="I180" s="10">
        <f>'[5]3.23.'!R10</f>
        <v>3737.7</v>
      </c>
      <c r="J180" s="10">
        <f>'[5]3.23.'!S10</f>
        <v>4354.8999999999996</v>
      </c>
      <c r="K180" s="11">
        <f>'[5]3.23.'!T10</f>
        <v>2042.3</v>
      </c>
      <c r="L180" s="10">
        <f>'[5]3.23.'!U10</f>
        <v>11723.5</v>
      </c>
      <c r="M180" s="10">
        <f>'[5]3.23.'!V10</f>
        <v>9132.2000000000007</v>
      </c>
      <c r="N180" s="10">
        <f>'[5]3.23.'!W10</f>
        <v>8474.4</v>
      </c>
      <c r="O180" s="10">
        <f>'[5]3.23.'!X10</f>
        <v>10992</v>
      </c>
      <c r="P180" s="60">
        <f>'[5]3.23.'!Y10</f>
        <v>14289.6</v>
      </c>
      <c r="Q180" s="10">
        <f>'[5]3.23.'!Z10</f>
        <v>15718.560000000001</v>
      </c>
      <c r="R180" s="10">
        <f>'[5]3.23.'!AA10</f>
        <v>17290.416000000001</v>
      </c>
      <c r="S180" s="10">
        <f>'[5]3.23.'!AB10</f>
        <v>19019.457600000002</v>
      </c>
      <c r="T180" s="11">
        <f>'[5]3.23.'!AC10</f>
        <v>20921.403360000004</v>
      </c>
      <c r="U180" s="11">
        <f>'[5]3.23.'!AD10</f>
        <v>23013.543696000008</v>
      </c>
    </row>
    <row r="181" spans="1:21" customFormat="1" ht="28">
      <c r="A181" s="133" t="s">
        <v>26</v>
      </c>
      <c r="B181" s="188" t="s">
        <v>122</v>
      </c>
      <c r="C181" s="167"/>
      <c r="D181" s="118"/>
      <c r="E181" s="119"/>
      <c r="F181" s="119"/>
      <c r="G181" s="119"/>
      <c r="H181" s="118"/>
      <c r="I181" s="119"/>
      <c r="J181" s="119"/>
      <c r="K181" s="121"/>
      <c r="L181" s="119"/>
      <c r="M181" s="119"/>
      <c r="N181" s="119"/>
      <c r="O181" s="119"/>
      <c r="P181" s="118"/>
      <c r="Q181" s="119"/>
      <c r="R181" s="119"/>
      <c r="S181" s="119"/>
      <c r="T181" s="121"/>
      <c r="U181" s="121"/>
    </row>
    <row r="182" spans="1:21" s="4" customFormat="1" ht="42">
      <c r="A182" s="66"/>
      <c r="B182" s="193" t="s">
        <v>400</v>
      </c>
      <c r="C182" s="153" t="s">
        <v>346</v>
      </c>
      <c r="D182" s="59">
        <v>23354.400000000001</v>
      </c>
      <c r="E182" s="5">
        <v>24727.7</v>
      </c>
      <c r="F182" s="5">
        <v>24688.400000000001</v>
      </c>
      <c r="G182" s="5">
        <v>24952.9</v>
      </c>
      <c r="H182" s="59">
        <v>24320.9</v>
      </c>
      <c r="I182" s="5">
        <f>'[5]4.'!R21</f>
        <v>5587.5</v>
      </c>
      <c r="J182" s="5">
        <f>'[5]4.'!S21</f>
        <v>6234</v>
      </c>
      <c r="K182" s="6">
        <f>'[5]4.'!T16</f>
        <v>22041</v>
      </c>
      <c r="L182" s="5">
        <f>'[5]4.'!U16</f>
        <v>23915.8</v>
      </c>
      <c r="M182" s="5">
        <f>'[5]4.'!V16</f>
        <v>24743.22</v>
      </c>
      <c r="N182" s="5">
        <f>'[5]4.'!W16</f>
        <v>24819.87</v>
      </c>
      <c r="O182" s="5">
        <f>'[5]4.'!X16</f>
        <v>22282.55</v>
      </c>
      <c r="P182" s="59">
        <f>'[5]4.'!Y16</f>
        <v>24896.029857639613</v>
      </c>
      <c r="Q182" s="5">
        <f>'[5]4.'!Z16</f>
        <v>25050.47299919105</v>
      </c>
      <c r="R182" s="5">
        <f>'[5]4.'!AA16</f>
        <v>24814.205676685204</v>
      </c>
      <c r="S182" s="5">
        <f>'[5]4.'!AB16</f>
        <v>25530.167260036244</v>
      </c>
      <c r="T182" s="6">
        <f>'[5]4.'!AC16</f>
        <v>26767.757996971617</v>
      </c>
      <c r="U182" s="6">
        <f>'[5]4.'!AD16</f>
        <v>27945.539348838371</v>
      </c>
    </row>
    <row r="183" spans="1:21" s="4" customFormat="1" ht="56">
      <c r="A183" s="66"/>
      <c r="B183" s="193" t="s">
        <v>347</v>
      </c>
      <c r="C183" s="153" t="s">
        <v>234</v>
      </c>
      <c r="D183" s="59">
        <v>2954.3</v>
      </c>
      <c r="E183" s="5">
        <v>3611.6</v>
      </c>
      <c r="F183" s="5">
        <v>3703</v>
      </c>
      <c r="G183" s="5">
        <v>3361.1</v>
      </c>
      <c r="H183" s="59">
        <v>2866.7</v>
      </c>
      <c r="I183" s="5" t="e">
        <f>'[5]4.'!#REF!</f>
        <v>#REF!</v>
      </c>
      <c r="J183" s="5" t="e">
        <f>'[5]4.'!#REF!</f>
        <v>#REF!</v>
      </c>
      <c r="K183" s="6">
        <f>'[5]4.'!T22</f>
        <v>3707.5</v>
      </c>
      <c r="L183" s="5">
        <f>'[5]4.'!U22</f>
        <v>3708.3</v>
      </c>
      <c r="M183" s="5">
        <f>'[5]4.'!V22</f>
        <v>3394.2</v>
      </c>
      <c r="N183" s="5">
        <f>'[5]4.'!W22</f>
        <v>3449.3</v>
      </c>
      <c r="O183" s="5">
        <f>'[5]4.'!X22</f>
        <v>3326.7</v>
      </c>
      <c r="P183" s="59">
        <f>'[5]4.'!Y22</f>
        <v>2868.1640000000002</v>
      </c>
      <c r="Q183" s="5">
        <f>'[5]4.'!Z22</f>
        <v>2692.0039999999999</v>
      </c>
      <c r="R183" s="5">
        <f>'[5]4.'!AA22</f>
        <v>2379.9160000000002</v>
      </c>
      <c r="S183" s="5">
        <f>'[5]4.'!AB22</f>
        <v>2118.6930000000002</v>
      </c>
      <c r="T183" s="6">
        <f>'[5]4.'!AC22</f>
        <v>1873.777</v>
      </c>
      <c r="U183" s="6">
        <f>'[5]4.'!AD22</f>
        <v>2689.596</v>
      </c>
    </row>
    <row r="184" spans="1:21" s="4" customFormat="1" ht="28">
      <c r="A184" s="67"/>
      <c r="B184" s="196" t="s">
        <v>391</v>
      </c>
      <c r="C184" s="154" t="s">
        <v>346</v>
      </c>
      <c r="D184" s="60">
        <v>1156</v>
      </c>
      <c r="E184" s="10">
        <v>1447</v>
      </c>
      <c r="F184" s="10">
        <v>1448</v>
      </c>
      <c r="G184" s="10">
        <v>1542</v>
      </c>
      <c r="H184" s="60">
        <v>1407.1</v>
      </c>
      <c r="I184" s="10">
        <f>'[5]4.'!R25</f>
        <v>3.8998920601450919</v>
      </c>
      <c r="J184" s="10">
        <f>'[5]4.'!S25</f>
        <v>0</v>
      </c>
      <c r="K184" s="11">
        <f>'[5]4.'!T18+'[5]4.'!T19</f>
        <v>141.19999999999999</v>
      </c>
      <c r="L184" s="10">
        <f>'[5]4.'!U18+'[5]4.'!U19</f>
        <v>145.30000000000001</v>
      </c>
      <c r="M184" s="10">
        <f>'[5]4.'!V18+'[5]4.'!V19</f>
        <v>142.94</v>
      </c>
      <c r="N184" s="10">
        <f>'[5]4.'!W18+'[5]4.'!W19</f>
        <v>93.1</v>
      </c>
      <c r="O184" s="10">
        <f>'[5]4.'!X18+'[5]4.'!X19</f>
        <v>596.71999999999991</v>
      </c>
      <c r="P184" s="60">
        <f>'[5]4.'!Y18+'[5]4.'!Y19</f>
        <v>682.18048265879065</v>
      </c>
      <c r="Q184" s="10">
        <f>'[5]4.'!Z18+'[5]4.'!Z19</f>
        <v>2489.566255536135</v>
      </c>
      <c r="R184" s="10">
        <f>'[5]4.'!AA18+'[5]4.'!AA19</f>
        <v>3959.0491926968534</v>
      </c>
      <c r="S184" s="10">
        <f>'[5]4.'!AB18+'[5]4.'!AB19</f>
        <v>5179.7057919664012</v>
      </c>
      <c r="T184" s="11">
        <f>'[5]4.'!AC18+'[5]4.'!AC19</f>
        <v>5691.0890241546031</v>
      </c>
      <c r="U184" s="11">
        <f>'[5]4.'!AD18+'[5]4.'!AD19</f>
        <v>4795.3</v>
      </c>
    </row>
    <row r="185" spans="1:21" s="12" customFormat="1" ht="28" hidden="1">
      <c r="A185" s="133" t="s">
        <v>27</v>
      </c>
      <c r="B185" s="188" t="s">
        <v>123</v>
      </c>
      <c r="C185" s="167"/>
      <c r="D185" s="118"/>
      <c r="E185" s="119"/>
      <c r="F185" s="119"/>
      <c r="G185" s="119"/>
      <c r="H185" s="120"/>
      <c r="I185" s="119"/>
      <c r="J185" s="119"/>
      <c r="K185" s="121"/>
      <c r="L185" s="119"/>
      <c r="M185" s="119"/>
      <c r="N185" s="119"/>
      <c r="O185" s="119"/>
      <c r="P185" s="119"/>
      <c r="Q185" s="119"/>
      <c r="R185" s="124"/>
      <c r="S185" s="123"/>
      <c r="T185" s="123"/>
      <c r="U185" s="123"/>
    </row>
    <row r="186" spans="1:21" s="4" customFormat="1" ht="14" hidden="1">
      <c r="A186" s="66"/>
      <c r="B186" s="193" t="s">
        <v>348</v>
      </c>
      <c r="C186" s="153" t="s">
        <v>349</v>
      </c>
      <c r="D186" s="59">
        <v>271</v>
      </c>
      <c r="E186" s="5">
        <v>385</v>
      </c>
      <c r="F186" s="5">
        <v>289</v>
      </c>
      <c r="G186" s="5">
        <v>281.34724000000006</v>
      </c>
      <c r="H186" s="59">
        <v>255.59780000000001</v>
      </c>
      <c r="I186" s="5" t="e">
        <f>'[5]5.'!#REF!</f>
        <v>#REF!</v>
      </c>
      <c r="J186" s="5" t="e">
        <f>'[5]5.'!#REF!</f>
        <v>#REF!</v>
      </c>
      <c r="K186" s="6" t="e">
        <f>'[5]5.'!#REF!</f>
        <v>#REF!</v>
      </c>
      <c r="L186" s="5" t="e">
        <f>'[5]5.'!#REF!</f>
        <v>#REF!</v>
      </c>
      <c r="M186" s="5" t="e">
        <f>'[5]5.'!#REF!</f>
        <v>#REF!</v>
      </c>
      <c r="N186" s="5" t="e">
        <f>'[5]5.'!#REF!</f>
        <v>#REF!</v>
      </c>
      <c r="O186" s="5" t="e">
        <f>'[5]5.'!#REF!</f>
        <v>#REF!</v>
      </c>
      <c r="P186" s="5" t="e">
        <f>'[5]5.'!#REF!</f>
        <v>#REF!</v>
      </c>
      <c r="Q186" s="5" t="e">
        <f>'[5]5.'!#REF!</f>
        <v>#REF!</v>
      </c>
      <c r="R186" s="6"/>
      <c r="S186" s="5"/>
      <c r="T186" s="5"/>
      <c r="U186" s="5"/>
    </row>
    <row r="187" spans="1:21" s="4" customFormat="1" ht="28" hidden="1">
      <c r="A187" s="67"/>
      <c r="B187" s="196" t="s">
        <v>386</v>
      </c>
      <c r="C187" s="154" t="s">
        <v>349</v>
      </c>
      <c r="D187" s="60">
        <v>170</v>
      </c>
      <c r="E187" s="10">
        <v>184</v>
      </c>
      <c r="F187" s="10">
        <v>192</v>
      </c>
      <c r="G187" s="10">
        <v>189.69234999999998</v>
      </c>
      <c r="H187" s="60">
        <v>169.93602000000001</v>
      </c>
      <c r="I187" s="10">
        <f>'[5]5.'!R8</f>
        <v>38.804000000000002</v>
      </c>
      <c r="J187" s="10">
        <f>'[5]5.'!S8</f>
        <v>130.1524</v>
      </c>
      <c r="K187" s="11">
        <f>'[5]5.'!T8</f>
        <v>306.9375</v>
      </c>
      <c r="L187" s="10">
        <f>'[5]5.'!U8</f>
        <v>317.17410000000001</v>
      </c>
      <c r="M187" s="10">
        <f>'[5]5.'!V8</f>
        <v>324.1266</v>
      </c>
      <c r="N187" s="10">
        <f>'[5]5.'!W8</f>
        <v>320.67</v>
      </c>
      <c r="O187" s="10">
        <f>'[5]5.'!X8</f>
        <v>360.09399999999999</v>
      </c>
      <c r="P187" s="10">
        <f>'[5]5.'!Y8</f>
        <v>422.34582058525746</v>
      </c>
      <c r="Q187" s="10">
        <f>'[5]5.'!Z8</f>
        <v>423.82756746632657</v>
      </c>
      <c r="R187" s="6"/>
      <c r="S187" s="5"/>
      <c r="T187" s="5"/>
      <c r="U187" s="5"/>
    </row>
    <row r="188" spans="1:21" s="12" customFormat="1" ht="14" hidden="1">
      <c r="A188" s="134" t="s">
        <v>38</v>
      </c>
      <c r="B188" s="197" t="s">
        <v>350</v>
      </c>
      <c r="C188" s="165"/>
      <c r="D188" s="120"/>
      <c r="E188" s="123"/>
      <c r="F188" s="123"/>
      <c r="G188" s="123"/>
      <c r="H188" s="120"/>
      <c r="I188" s="123"/>
      <c r="J188" s="123"/>
      <c r="K188" s="124"/>
      <c r="L188" s="123"/>
      <c r="M188" s="123"/>
      <c r="N188" s="123"/>
      <c r="O188" s="123"/>
      <c r="P188" s="123"/>
      <c r="Q188" s="123"/>
      <c r="R188" s="124"/>
      <c r="S188" s="123"/>
      <c r="T188" s="123"/>
      <c r="U188" s="123"/>
    </row>
    <row r="189" spans="1:21" s="27" customFormat="1" ht="14" hidden="1">
      <c r="A189" s="129" t="s">
        <v>39</v>
      </c>
      <c r="B189" s="190" t="s">
        <v>351</v>
      </c>
      <c r="C189" s="171"/>
      <c r="D189" s="130"/>
      <c r="E189" s="131"/>
      <c r="F189" s="131"/>
      <c r="G189" s="131"/>
      <c r="H189" s="130"/>
      <c r="I189" s="131"/>
      <c r="J189" s="131"/>
      <c r="K189" s="132"/>
      <c r="L189" s="131"/>
      <c r="M189" s="131"/>
      <c r="N189" s="131"/>
      <c r="O189" s="131"/>
      <c r="P189" s="131"/>
      <c r="Q189" s="131"/>
      <c r="R189" s="132"/>
      <c r="S189" s="131"/>
      <c r="T189" s="131"/>
      <c r="U189" s="131"/>
    </row>
    <row r="190" spans="1:21" s="18" customFormat="1" ht="14" hidden="1">
      <c r="A190" s="68" t="s">
        <v>40</v>
      </c>
      <c r="B190" s="201" t="s">
        <v>352</v>
      </c>
      <c r="C190" s="163" t="s">
        <v>353</v>
      </c>
      <c r="D190" s="40">
        <v>217.92579999999998</v>
      </c>
      <c r="E190" s="18">
        <v>221.99360000000001</v>
      </c>
      <c r="F190" s="18">
        <v>222.3717</v>
      </c>
      <c r="G190" s="18">
        <v>222.46180000000001</v>
      </c>
      <c r="H190" s="40">
        <v>226.41680000000005</v>
      </c>
      <c r="I190" s="18">
        <f>[6]NvR!AC6/1000</f>
        <v>230.14420000000001</v>
      </c>
      <c r="J190" s="18">
        <f>[6]NvR!AD6/1000</f>
        <v>235.28779999999998</v>
      </c>
      <c r="K190" s="19">
        <f>[6]NvR!AE6/1000</f>
        <v>188.6293</v>
      </c>
      <c r="L190" s="18">
        <f>[6]NvR!AF6/1000</f>
        <v>193.9032</v>
      </c>
      <c r="M190" s="18">
        <f>[6]NvR!AG6/1000</f>
        <v>218.71549999999999</v>
      </c>
      <c r="N190" s="18">
        <f>[6]NvR!AH6/1000</f>
        <v>229.89769999999999</v>
      </c>
      <c r="O190" s="18">
        <f>[6]NvR!AI6/1000</f>
        <v>238.88569999999996</v>
      </c>
      <c r="P190" s="18">
        <f>[6]NvR!AJ6/1000</f>
        <v>233.46039962187234</v>
      </c>
      <c r="Q190" s="18">
        <f>[6]NvR!AK6/1000</f>
        <v>238.8910347701455</v>
      </c>
      <c r="R190" s="19"/>
    </row>
    <row r="191" spans="1:21" ht="14" hidden="1">
      <c r="A191" s="66"/>
      <c r="B191" s="2" t="s">
        <v>354</v>
      </c>
      <c r="C191" s="153" t="s">
        <v>353</v>
      </c>
      <c r="D191" s="59">
        <v>23.1265</v>
      </c>
      <c r="E191" s="5">
        <v>21.7956</v>
      </c>
      <c r="F191" s="5">
        <v>17.089599999999997</v>
      </c>
      <c r="G191" s="5">
        <v>15.4796</v>
      </c>
      <c r="H191" s="59">
        <v>14.558200000000001</v>
      </c>
      <c r="I191" s="18">
        <f>[6]NvR!AC7/1000</f>
        <v>13.9541</v>
      </c>
      <c r="J191" s="5">
        <f>[6]NvR!AD7/1000</f>
        <v>15.2218</v>
      </c>
      <c r="K191" s="6">
        <f>[6]NvR!AE7/1000</f>
        <v>14.631500000000001</v>
      </c>
      <c r="L191" s="5">
        <f>[6]NvR!AF7/1000</f>
        <v>15.057600000000001</v>
      </c>
      <c r="M191" s="5">
        <f>[6]NvR!AG7/1000</f>
        <v>18.730400000000003</v>
      </c>
      <c r="N191" s="5">
        <f>[6]NvR!AH7/1000</f>
        <v>18.2759</v>
      </c>
      <c r="O191" s="5">
        <f>[6]NvR!AI7/1000</f>
        <v>18.565300000000001</v>
      </c>
      <c r="P191" s="5">
        <f>[6]NvR!AJ7/1000</f>
        <v>18.405208999999999</v>
      </c>
      <c r="Q191" s="5">
        <f>[6]NvR!AK7/1000</f>
        <v>20.354629899999999</v>
      </c>
      <c r="R191" s="6"/>
    </row>
    <row r="192" spans="1:21" ht="14" hidden="1">
      <c r="A192" s="66"/>
      <c r="B192" s="2" t="s">
        <v>355</v>
      </c>
      <c r="C192" s="153" t="s">
        <v>353</v>
      </c>
      <c r="D192" s="59">
        <v>125.22239999999999</v>
      </c>
      <c r="E192" s="5">
        <v>128.60339999999999</v>
      </c>
      <c r="F192" s="5">
        <v>137.60560000000001</v>
      </c>
      <c r="G192" s="5">
        <v>141.45860000000002</v>
      </c>
      <c r="H192" s="59">
        <v>144.8536</v>
      </c>
      <c r="I192" s="18">
        <f>[6]NvR!AC8/1000</f>
        <v>149.3441</v>
      </c>
      <c r="J192" s="5">
        <f>[6]NvR!AD8/1000</f>
        <v>155.31789999999998</v>
      </c>
      <c r="K192" s="6">
        <f>[6]NvR!AE8/1000</f>
        <v>111.5183</v>
      </c>
      <c r="L192" s="5">
        <f>[6]NvR!AF8/1000</f>
        <v>112.52200000000001</v>
      </c>
      <c r="M192" s="5">
        <f>[6]NvR!AG8/1000</f>
        <v>126.02460000000001</v>
      </c>
      <c r="N192" s="5">
        <f>[6]NvR!AH8/1000</f>
        <v>134.21620000000001</v>
      </c>
      <c r="O192" s="5">
        <f>[6]NvR!AI8/1000</f>
        <v>143.47709999999998</v>
      </c>
      <c r="P192" s="5">
        <f>[6]NvR!AJ8/1000</f>
        <v>146.953</v>
      </c>
      <c r="Q192" s="5">
        <f>[6]NvR!AK8/1000</f>
        <v>150.43</v>
      </c>
      <c r="R192" s="6"/>
    </row>
    <row r="193" spans="1:18" ht="14" hidden="1">
      <c r="A193" s="66"/>
      <c r="B193" s="2" t="s">
        <v>356</v>
      </c>
      <c r="C193" s="153" t="s">
        <v>353</v>
      </c>
      <c r="D193" s="59">
        <v>11.5097</v>
      </c>
      <c r="E193" s="5">
        <v>9.9367000000000001</v>
      </c>
      <c r="F193" s="5">
        <v>6.6257999999999999</v>
      </c>
      <c r="G193" s="5">
        <v>5.8073000000000006</v>
      </c>
      <c r="H193" s="59">
        <v>8.3445</v>
      </c>
      <c r="I193" s="18">
        <f>[6]NvR!AC9/1000</f>
        <v>8.2361000000000004</v>
      </c>
      <c r="J193" s="5">
        <f>[6]NvR!AD9/1000</f>
        <v>5.9687000000000001</v>
      </c>
      <c r="K193" s="6">
        <f>[6]NvR!AE9/1000</f>
        <v>5.9818999999999996</v>
      </c>
      <c r="L193" s="5">
        <f>[6]NvR!AF9/1000</f>
        <v>5.4683999999999999</v>
      </c>
      <c r="M193" s="5">
        <f>[6]NvR!AG9/1000</f>
        <v>7.5191999999999997</v>
      </c>
      <c r="N193" s="5">
        <f>[6]NvR!AH9/1000</f>
        <v>9.0107999999999997</v>
      </c>
      <c r="O193" s="5">
        <f>[6]NvR!AI9/1000</f>
        <v>8.6216000000000008</v>
      </c>
      <c r="P193" s="5">
        <f>[6]NvR!AJ9/1000</f>
        <v>10.1066</v>
      </c>
      <c r="Q193" s="5">
        <f>[6]NvR!AK9/1000</f>
        <v>11.26</v>
      </c>
      <c r="R193" s="6"/>
    </row>
    <row r="194" spans="1:18" ht="14" hidden="1">
      <c r="A194" s="66"/>
      <c r="B194" s="2" t="s">
        <v>357</v>
      </c>
      <c r="C194" s="153" t="s">
        <v>353</v>
      </c>
      <c r="D194" s="59">
        <v>0.1258</v>
      </c>
      <c r="E194" s="5">
        <v>0.12379999999999999</v>
      </c>
      <c r="F194" s="5">
        <v>0.12790000000000001</v>
      </c>
      <c r="G194" s="5">
        <v>0.15969999999999998</v>
      </c>
      <c r="H194" s="59">
        <v>0.17069999999999999</v>
      </c>
      <c r="I194" s="18">
        <f>[6]NvR!AC10/1000</f>
        <v>0.20780000000000001</v>
      </c>
      <c r="J194" s="5">
        <f>[6]NvR!AD10/1000</f>
        <v>0.18340000000000001</v>
      </c>
      <c r="K194" s="6">
        <f>[6]NvR!AE10/1000</f>
        <v>0.45779999999999998</v>
      </c>
      <c r="L194" s="5">
        <f>[6]NvR!AF10/1000</f>
        <v>0.55710000000000004</v>
      </c>
      <c r="M194" s="5">
        <f>[6]NvR!AG10/1000</f>
        <v>0.40679999999999999</v>
      </c>
      <c r="N194" s="5">
        <f>[6]NvR!AH10/1000</f>
        <v>0.3574</v>
      </c>
      <c r="O194" s="5">
        <f>[6]NvR!AI10/1000</f>
        <v>0.41880000000000001</v>
      </c>
      <c r="P194" s="5">
        <f>[6]NvR!AJ10/1000</f>
        <v>0.42</v>
      </c>
      <c r="Q194" s="5">
        <f>[6]NvR!AK10/1000</f>
        <v>0.435</v>
      </c>
      <c r="R194" s="6"/>
    </row>
    <row r="195" spans="1:18" ht="14" hidden="1">
      <c r="A195" s="66"/>
      <c r="B195" s="2" t="s">
        <v>358</v>
      </c>
      <c r="C195" s="153" t="s">
        <v>353</v>
      </c>
      <c r="D195" s="59">
        <v>57.941400000000002</v>
      </c>
      <c r="E195" s="5">
        <v>61.534100000000009</v>
      </c>
      <c r="F195" s="5">
        <v>60.922800000000002</v>
      </c>
      <c r="G195" s="5">
        <v>59.556600000000003</v>
      </c>
      <c r="H195" s="59">
        <v>58.489800000000002</v>
      </c>
      <c r="I195" s="18">
        <f>[6]NvR!AC11/1000</f>
        <v>58.402100000000004</v>
      </c>
      <c r="J195" s="5">
        <f>[6]NvR!AD11/1000</f>
        <v>58.595999999999997</v>
      </c>
      <c r="K195" s="6">
        <f>[6]NvR!AE11/1000</f>
        <v>56.0398</v>
      </c>
      <c r="L195" s="5">
        <f>[6]NvR!AF11/1000</f>
        <v>60.298099999999998</v>
      </c>
      <c r="M195" s="5">
        <f>[6]NvR!AG11/1000</f>
        <v>66.034499999999994</v>
      </c>
      <c r="N195" s="5">
        <f>[6]NvR!AH11/1000</f>
        <v>68.037399999999991</v>
      </c>
      <c r="O195" s="5">
        <f>[6]NvR!AI11/1000</f>
        <v>67.802899999999994</v>
      </c>
      <c r="P195" s="5">
        <f>[6]NvR!AJ11/1000</f>
        <v>57.575590621872351</v>
      </c>
      <c r="Q195" s="5">
        <f>[6]NvR!AK11/1000</f>
        <v>56.411404870145475</v>
      </c>
      <c r="R195" s="6"/>
    </row>
    <row r="196" spans="1:18" ht="14" hidden="1">
      <c r="A196" s="66"/>
      <c r="B196" s="191" t="s">
        <v>359</v>
      </c>
      <c r="C196" s="153" t="s">
        <v>353</v>
      </c>
      <c r="D196" s="59">
        <v>43.548900000000003</v>
      </c>
      <c r="E196" s="5">
        <v>45.784300000000002</v>
      </c>
      <c r="F196" s="5">
        <v>45.671599999999998</v>
      </c>
      <c r="G196" s="5">
        <v>44.129899999999999</v>
      </c>
      <c r="H196" s="59">
        <v>42.558500000000002</v>
      </c>
      <c r="I196" s="18">
        <f>[6]NvR!AC12/1000</f>
        <v>41.490900000000003</v>
      </c>
      <c r="J196" s="5">
        <f>[6]NvR!AD12/1000</f>
        <v>38.786799999999999</v>
      </c>
      <c r="K196" s="6">
        <f>[6]NvR!AE12/1000</f>
        <v>34.719900000000003</v>
      </c>
      <c r="L196" s="5">
        <f>[6]NvR!AF12/1000</f>
        <v>35.018099999999997</v>
      </c>
      <c r="M196" s="5">
        <f>[6]NvR!AG12/1000</f>
        <v>37.781500000000001</v>
      </c>
      <c r="N196" s="5">
        <f>[6]NvR!AH12/1000</f>
        <v>39.7532</v>
      </c>
      <c r="O196" s="5">
        <f>[6]NvR!AI12/1000</f>
        <v>38.752099999999999</v>
      </c>
      <c r="P196" s="5">
        <f>[6]NvR!AJ12/1000</f>
        <v>28.497739537343477</v>
      </c>
      <c r="Q196" s="5">
        <f>[6]NvR!AK12/1000</f>
        <v>27.811829588181105</v>
      </c>
      <c r="R196" s="6"/>
    </row>
    <row r="197" spans="1:18" ht="14" hidden="1">
      <c r="A197" s="66"/>
      <c r="B197" s="202" t="s">
        <v>360</v>
      </c>
      <c r="C197" s="153" t="s">
        <v>353</v>
      </c>
      <c r="D197" s="59">
        <v>32.982399999999998</v>
      </c>
      <c r="E197" s="5">
        <v>34.557499999999997</v>
      </c>
      <c r="F197" s="5">
        <v>34.814699999999995</v>
      </c>
      <c r="G197" s="5">
        <v>33.929900000000004</v>
      </c>
      <c r="H197" s="59">
        <v>31.328892211168306</v>
      </c>
      <c r="I197" s="18">
        <f>[6]NvR!AC13/1000</f>
        <v>31.271989999999995</v>
      </c>
      <c r="J197" s="5">
        <f>[6]NvR!AD13/1000</f>
        <v>29.77055</v>
      </c>
      <c r="K197" s="6">
        <f>[6]NvR!AE13/1000</f>
        <v>27.124809634202585</v>
      </c>
      <c r="L197" s="5">
        <f>[6]NvR!AF13/1000</f>
        <v>26.690420421769115</v>
      </c>
      <c r="M197" s="5">
        <f>[6]NvR!AG13/1000</f>
        <v>24.8611</v>
      </c>
      <c r="N197" s="5">
        <f>[6]NvR!AH13/1000</f>
        <v>22.120900000000002</v>
      </c>
      <c r="O197" s="5">
        <f>[6]NvR!AI13/1000</f>
        <v>20.994299999999999</v>
      </c>
      <c r="P197" s="5">
        <f>[6]NvR!AJ13/1000</f>
        <v>20.717839537343476</v>
      </c>
      <c r="Q197" s="5">
        <f>[6]NvR!AK13/1000</f>
        <v>20.070229588181107</v>
      </c>
      <c r="R197" s="6"/>
    </row>
    <row r="198" spans="1:18" ht="14" hidden="1">
      <c r="A198" s="66"/>
      <c r="B198" s="191" t="s">
        <v>361</v>
      </c>
      <c r="C198" s="153" t="s">
        <v>353</v>
      </c>
      <c r="D198" s="59">
        <v>14.3925</v>
      </c>
      <c r="E198" s="5">
        <v>15.749799999999999</v>
      </c>
      <c r="F198" s="5">
        <v>15.251200000000001</v>
      </c>
      <c r="G198" s="5">
        <v>15.4267</v>
      </c>
      <c r="H198" s="59">
        <v>15.931299999999998</v>
      </c>
      <c r="I198" s="18">
        <f>[6]NvR!AC14/1000</f>
        <v>16.911200000000001</v>
      </c>
      <c r="J198" s="5">
        <f>[6]NvR!AD14/1000</f>
        <v>19.809200000000001</v>
      </c>
      <c r="K198" s="6">
        <f>[6]NvR!AE14/1000</f>
        <v>21.319900000000001</v>
      </c>
      <c r="L198" s="5">
        <f>[6]NvR!AF14/1000</f>
        <v>25.28</v>
      </c>
      <c r="M198" s="5">
        <f>[6]NvR!AG14/1000</f>
        <v>28.253</v>
      </c>
      <c r="N198" s="5">
        <f>[6]NvR!AH14/1000</f>
        <v>28.284200000000002</v>
      </c>
      <c r="O198" s="5">
        <f>[6]NvR!AI14/1000</f>
        <v>29.050799999999995</v>
      </c>
      <c r="P198" s="5">
        <f>[6]NvR!AJ14/1000</f>
        <v>29.077851084528881</v>
      </c>
      <c r="Q198" s="5">
        <f>[6]NvR!AK14/1000</f>
        <v>28.599575281964366</v>
      </c>
      <c r="R198" s="6"/>
    </row>
    <row r="199" spans="1:18" ht="14" hidden="1">
      <c r="A199" s="67"/>
      <c r="B199" s="200" t="s">
        <v>362</v>
      </c>
      <c r="C199" s="154" t="s">
        <v>353</v>
      </c>
      <c r="D199" s="60">
        <v>3.4009</v>
      </c>
      <c r="E199" s="10">
        <v>4.7116999999999996</v>
      </c>
      <c r="F199" s="10">
        <v>4.7892000000000001</v>
      </c>
      <c r="G199" s="10">
        <v>5.1444999999999999</v>
      </c>
      <c r="H199" s="60">
        <v>5.340821483205576</v>
      </c>
      <c r="I199" s="18">
        <f>[6]NvR!AC15/1000</f>
        <v>5.8073785714285693</v>
      </c>
      <c r="J199" s="10">
        <f>[6]NvR!AD15/1000</f>
        <v>7.2406999999999977</v>
      </c>
      <c r="K199" s="11">
        <f>[6]NvR!AE15/1000</f>
        <v>8.6965285714285692</v>
      </c>
      <c r="L199" s="10">
        <f>[6]NvR!AF15/1000</f>
        <v>12.74886428571428</v>
      </c>
      <c r="M199" s="10">
        <f>[6]NvR!AG15/1000</f>
        <v>14.20157142857142</v>
      </c>
      <c r="N199" s="10">
        <f>[6]NvR!AH15/1000</f>
        <v>15.443164285714282</v>
      </c>
      <c r="O199" s="10">
        <f>[6]NvR!AI15/1000</f>
        <v>16.25421428571428</v>
      </c>
      <c r="P199" s="10">
        <f>[6]NvR!AJ15/1000</f>
        <v>16.232427555463563</v>
      </c>
      <c r="Q199" s="10">
        <f>[6]NvR!AK15/1000</f>
        <v>15.979576262616039</v>
      </c>
      <c r="R199" s="6"/>
    </row>
    <row r="200" spans="1:18" s="18" customFormat="1" ht="14" hidden="1">
      <c r="A200" s="68" t="s">
        <v>41</v>
      </c>
      <c r="B200" s="201" t="s">
        <v>363</v>
      </c>
      <c r="C200" s="163" t="s">
        <v>364</v>
      </c>
      <c r="D200" s="40">
        <v>90.887</v>
      </c>
      <c r="E200" s="18">
        <v>93.532799999999995</v>
      </c>
      <c r="F200" s="18">
        <v>92.730999999999995</v>
      </c>
      <c r="G200" s="18">
        <v>90.7684</v>
      </c>
      <c r="H200" s="40">
        <v>91.986800000000002</v>
      </c>
      <c r="I200" s="18">
        <f>[6]NvR!AC16/1000</f>
        <v>93.296000000000006</v>
      </c>
      <c r="J200" s="18">
        <f>[6]NvR!AD16/1000</f>
        <v>89.747799999999998</v>
      </c>
      <c r="K200" s="19">
        <f>[6]NvR!AE16/1000</f>
        <v>76.326999999999998</v>
      </c>
      <c r="L200" s="18">
        <f>[6]NvR!AF16/1000</f>
        <v>78.6541</v>
      </c>
      <c r="M200" s="18">
        <f>[6]NvR!AG16/1000</f>
        <v>90.308700000000002</v>
      </c>
      <c r="N200" s="18">
        <f>[6]NvR!AH16/1000</f>
        <v>93.2727</v>
      </c>
      <c r="O200" s="18">
        <f>[6]NvR!AI16/1000</f>
        <v>96.991900000000001</v>
      </c>
      <c r="P200" s="18">
        <f>[6]NvR!AJ16/1000</f>
        <v>109.95322348794565</v>
      </c>
      <c r="Q200" s="18">
        <f>[6]NvR!AK16/1000</f>
        <v>112.01490436829488</v>
      </c>
      <c r="R200" s="19"/>
    </row>
    <row r="201" spans="1:18" ht="14" hidden="1">
      <c r="A201" s="66"/>
      <c r="B201" s="2" t="s">
        <v>354</v>
      </c>
      <c r="C201" s="153" t="s">
        <v>364</v>
      </c>
      <c r="D201" s="59">
        <v>7.9580000000000002</v>
      </c>
      <c r="E201" s="5">
        <v>7.3708999999999998</v>
      </c>
      <c r="F201" s="5">
        <v>6.2104999999999997</v>
      </c>
      <c r="G201" s="5">
        <v>5.1921999999999997</v>
      </c>
      <c r="H201" s="59">
        <v>4.6331000000000007</v>
      </c>
      <c r="I201" s="18">
        <f>[6]NvR!AC17/1000</f>
        <v>4.4918000000000005</v>
      </c>
      <c r="J201" s="5">
        <f>[6]NvR!AD17/1000</f>
        <v>5.1516999999999999</v>
      </c>
      <c r="K201" s="6">
        <f>[6]NvR!AE17/1000</f>
        <v>4.8613</v>
      </c>
      <c r="L201" s="5">
        <f>[6]NvR!AF17/1000</f>
        <v>5.3159999999999998</v>
      </c>
      <c r="M201" s="5">
        <f>[6]NvR!AG17/1000</f>
        <v>7.0970000000000004</v>
      </c>
      <c r="N201" s="5">
        <f>[6]NvR!AH17/1000</f>
        <v>6.7394999999999996</v>
      </c>
      <c r="O201" s="5">
        <f>[6]NvR!AI17/1000</f>
        <v>7.0273999999999992</v>
      </c>
      <c r="P201" s="5">
        <f>[6]NvR!AJ17/1000</f>
        <v>7.6624509999999999</v>
      </c>
      <c r="Q201" s="5">
        <f>[6]NvR!AK17/1000</f>
        <v>8.4286961000000016</v>
      </c>
      <c r="R201" s="6"/>
    </row>
    <row r="202" spans="1:18" ht="14" hidden="1">
      <c r="A202" s="66"/>
      <c r="B202" s="2" t="s">
        <v>355</v>
      </c>
      <c r="C202" s="153" t="s">
        <v>364</v>
      </c>
      <c r="D202" s="59">
        <v>14.120200000000001</v>
      </c>
      <c r="E202" s="5">
        <v>14.515600000000001</v>
      </c>
      <c r="F202" s="5">
        <v>15.531700000000001</v>
      </c>
      <c r="G202" s="5">
        <v>15.9666</v>
      </c>
      <c r="H202" s="59">
        <v>16.3338</v>
      </c>
      <c r="I202" s="18">
        <f>[6]NvR!AC18/1000</f>
        <v>16.8565</v>
      </c>
      <c r="J202" s="5">
        <f>[6]NvR!AD18/1000</f>
        <v>17.530799999999999</v>
      </c>
      <c r="K202" s="6">
        <f>[6]NvR!AE18/1000</f>
        <v>8.8004999999999995</v>
      </c>
      <c r="L202" s="5">
        <f>[6]NvR!AF18/1000</f>
        <v>9.4253</v>
      </c>
      <c r="M202" s="5">
        <f>[6]NvR!AG18/1000</f>
        <v>11.602499999999999</v>
      </c>
      <c r="N202" s="5">
        <f>[6]NvR!AH18/1000</f>
        <v>12.4495</v>
      </c>
      <c r="O202" s="5">
        <f>[6]NvR!AI18/1000</f>
        <v>13.445499999999999</v>
      </c>
      <c r="P202" s="5">
        <f>[6]NvR!AJ18/1000</f>
        <v>13.9</v>
      </c>
      <c r="Q202" s="5">
        <f>[6]NvR!AK18/1000</f>
        <v>14</v>
      </c>
      <c r="R202" s="6"/>
    </row>
    <row r="203" spans="1:18" ht="14" hidden="1">
      <c r="A203" s="66"/>
      <c r="B203" s="2" t="s">
        <v>356</v>
      </c>
      <c r="C203" s="153" t="s">
        <v>364</v>
      </c>
      <c r="D203" s="59">
        <v>4.6323999999999996</v>
      </c>
      <c r="E203" s="5">
        <v>4.1248000000000005</v>
      </c>
      <c r="F203" s="5">
        <v>2.8959999999999999</v>
      </c>
      <c r="G203" s="5">
        <v>3.0019999999999998</v>
      </c>
      <c r="H203" s="59">
        <v>4.4142000000000001</v>
      </c>
      <c r="I203" s="18">
        <f>[6]NvR!AC19/1000</f>
        <v>4.5756999999999994</v>
      </c>
      <c r="J203" s="5">
        <f>[6]NvR!AD19/1000</f>
        <v>3.3506999999999998</v>
      </c>
      <c r="K203" s="6">
        <f>[6]NvR!AE19/1000</f>
        <v>3.2985000000000002</v>
      </c>
      <c r="L203" s="5">
        <f>[6]NvR!AF19/1000</f>
        <v>3.093</v>
      </c>
      <c r="M203" s="5">
        <f>[6]NvR!AG19/1000</f>
        <v>3.4375999999999998</v>
      </c>
      <c r="N203" s="5">
        <f>[6]NvR!AH19/1000</f>
        <v>4.0522999999999998</v>
      </c>
      <c r="O203" s="5">
        <f>[6]NvR!AI19/1000</f>
        <v>6.9711000000000007</v>
      </c>
      <c r="P203" s="5">
        <f>[6]NvR!AJ19/1000</f>
        <v>18.965299999999999</v>
      </c>
      <c r="Q203" s="5">
        <f>[6]NvR!AK19/1000</f>
        <v>21.1297</v>
      </c>
      <c r="R203" s="6"/>
    </row>
    <row r="204" spans="1:18" ht="14" hidden="1">
      <c r="A204" s="66"/>
      <c r="B204" s="2" t="s">
        <v>357</v>
      </c>
      <c r="C204" s="153" t="s">
        <v>364</v>
      </c>
      <c r="D204" s="59">
        <v>0.44280000000000003</v>
      </c>
      <c r="E204" s="5">
        <v>0.48230000000000001</v>
      </c>
      <c r="F204" s="5">
        <v>0.57799999999999996</v>
      </c>
      <c r="G204" s="5">
        <v>0.68340000000000001</v>
      </c>
      <c r="H204" s="59">
        <v>0.72670000000000001</v>
      </c>
      <c r="I204" s="18">
        <f>[6]NvR!AC20/1000</f>
        <v>0.9194</v>
      </c>
      <c r="J204" s="5">
        <f>[6]NvR!AD20/1000</f>
        <v>0.9466</v>
      </c>
      <c r="K204" s="6">
        <f>[6]NvR!AE20/1000</f>
        <v>2.302</v>
      </c>
      <c r="L204" s="5">
        <f>[6]NvR!AF20/1000</f>
        <v>2.8022</v>
      </c>
      <c r="M204" s="5">
        <f>[6]NvR!AG20/1000</f>
        <v>2.8384</v>
      </c>
      <c r="N204" s="5">
        <f>[6]NvR!AH20/1000</f>
        <v>3.0172000000000003</v>
      </c>
      <c r="O204" s="5">
        <f>[6]NvR!AI20/1000</f>
        <v>3.4436999999999998</v>
      </c>
      <c r="P204" s="5">
        <f>[6]NvR!AJ20/1000</f>
        <v>3.5879078306312242</v>
      </c>
      <c r="Q204" s="5">
        <f>[6]NvR!AK20/1000</f>
        <v>3.7336660122166445</v>
      </c>
      <c r="R204" s="6"/>
    </row>
    <row r="205" spans="1:18" ht="14" hidden="1">
      <c r="A205" s="66"/>
      <c r="B205" s="2" t="s">
        <v>358</v>
      </c>
      <c r="C205" s="153" t="s">
        <v>364</v>
      </c>
      <c r="D205" s="59">
        <v>63.733599999999996</v>
      </c>
      <c r="E205" s="5">
        <v>67.039199999999994</v>
      </c>
      <c r="F205" s="5">
        <v>67.514800000000008</v>
      </c>
      <c r="G205" s="5">
        <v>65.924199999999999</v>
      </c>
      <c r="H205" s="59">
        <v>65.879000000000005</v>
      </c>
      <c r="I205" s="18">
        <f>[6]NvR!AC21/1000</f>
        <v>66.452600000000004</v>
      </c>
      <c r="J205" s="5">
        <f>[6]NvR!AD21/1000</f>
        <v>62.768000000000001</v>
      </c>
      <c r="K205" s="6">
        <f>[6]NvR!AE21/1000</f>
        <v>57.064699999999995</v>
      </c>
      <c r="L205" s="5">
        <f>[6]NvR!AF21/1000</f>
        <v>58.017600000000009</v>
      </c>
      <c r="M205" s="5">
        <f>[6]NvR!AG21/1000</f>
        <v>65.333199999999991</v>
      </c>
      <c r="N205" s="5">
        <f>[6]NvR!AH21/1000</f>
        <v>67.014200000000002</v>
      </c>
      <c r="O205" s="5">
        <f>[6]NvR!AI21/1000</f>
        <v>66.104199999999992</v>
      </c>
      <c r="P205" s="5">
        <f>[6]NvR!AJ21/1000</f>
        <v>65.837564657314417</v>
      </c>
      <c r="Q205" s="5">
        <f>[6]NvR!AK21/1000</f>
        <v>64.722842256078238</v>
      </c>
      <c r="R205" s="6"/>
    </row>
    <row r="206" spans="1:18" ht="14" hidden="1">
      <c r="A206" s="66"/>
      <c r="B206" s="191" t="s">
        <v>359</v>
      </c>
      <c r="C206" s="153" t="s">
        <v>364</v>
      </c>
      <c r="D206" s="59">
        <v>59.274099999999997</v>
      </c>
      <c r="E206" s="5">
        <v>62.029699999999998</v>
      </c>
      <c r="F206" s="5">
        <v>62.510800000000003</v>
      </c>
      <c r="G206" s="5">
        <v>60.906800000000004</v>
      </c>
      <c r="H206" s="59">
        <v>60.615600000000001</v>
      </c>
      <c r="I206" s="18">
        <f>[6]NvR!AC22/1000</f>
        <v>60.658300000000004</v>
      </c>
      <c r="J206" s="5">
        <f>[6]NvR!AD22/1000</f>
        <v>55.797499999999999</v>
      </c>
      <c r="K206" s="6">
        <f>[6]NvR!AE22/1000</f>
        <v>49.2712</v>
      </c>
      <c r="L206" s="5">
        <f>[6]NvR!AF22/1000</f>
        <v>47.584800000000001</v>
      </c>
      <c r="M206" s="5">
        <f>[6]NvR!AG22/1000</f>
        <v>53.363900000000001</v>
      </c>
      <c r="N206" s="5">
        <f>[6]NvR!AH22/1000</f>
        <v>54.325099999999999</v>
      </c>
      <c r="O206" s="5">
        <f>[6]NvR!AI22/1000</f>
        <v>52.996699999999997</v>
      </c>
      <c r="P206" s="5">
        <f>[6]NvR!AJ22/1000</f>
        <v>53.053294013366006</v>
      </c>
      <c r="Q206" s="5">
        <f>[6]NvR!AK22/1000</f>
        <v>52.752426480259011</v>
      </c>
      <c r="R206" s="6"/>
    </row>
    <row r="207" spans="1:18" ht="14" hidden="1">
      <c r="A207" s="66"/>
      <c r="B207" s="202" t="s">
        <v>360</v>
      </c>
      <c r="C207" s="153" t="s">
        <v>364</v>
      </c>
      <c r="D207" s="59">
        <v>58.378999999999998</v>
      </c>
      <c r="E207" s="5">
        <v>61.167999999999999</v>
      </c>
      <c r="F207" s="5">
        <v>61.622999999999998</v>
      </c>
      <c r="G207" s="5">
        <v>60.055999999999997</v>
      </c>
      <c r="H207" s="59">
        <v>55.452210311080307</v>
      </c>
      <c r="I207" s="18">
        <f>[6]NvR!AC23/1000</f>
        <v>55.344580133205227</v>
      </c>
      <c r="J207" s="5">
        <f>[6]NvR!AD23/1000</f>
        <v>52.687359841333823</v>
      </c>
      <c r="K207" s="6">
        <f>[6]NvR!AE23/1000</f>
        <v>48.004978269629227</v>
      </c>
      <c r="L207" s="5">
        <f>[6]NvR!AF23/1000</f>
        <v>47.236204405972828</v>
      </c>
      <c r="M207" s="5">
        <f>[6]NvR!AG23/1000</f>
        <v>43.998707506290089</v>
      </c>
      <c r="N207" s="5">
        <f>[6]NvR!AH23/1000</f>
        <v>39.149153049378043</v>
      </c>
      <c r="O207" s="5">
        <f>[6]NvR!AI23/1000</f>
        <v>37.155317544248078</v>
      </c>
      <c r="P207" s="5">
        <f>[6]NvR!AJ23/1000</f>
        <v>36.666043013616779</v>
      </c>
      <c r="Q207" s="5">
        <f>[6]NvR!AK23/1000</f>
        <v>35.519915097661389</v>
      </c>
      <c r="R207" s="6"/>
    </row>
    <row r="208" spans="1:18" ht="14" hidden="1">
      <c r="A208" s="67"/>
      <c r="B208" s="200" t="s">
        <v>361</v>
      </c>
      <c r="C208" s="154" t="s">
        <v>364</v>
      </c>
      <c r="D208" s="60">
        <v>4.4595000000000002</v>
      </c>
      <c r="E208" s="10">
        <v>5.0095000000000001</v>
      </c>
      <c r="F208" s="10">
        <v>5.0039999999999996</v>
      </c>
      <c r="G208" s="10">
        <v>5.0173999999999994</v>
      </c>
      <c r="H208" s="60">
        <v>5.2633999999999999</v>
      </c>
      <c r="I208" s="36">
        <f>[6]NvR!AC24/1000</f>
        <v>5.7942999999999998</v>
      </c>
      <c r="J208" s="10">
        <f>[6]NvR!AD24/1000</f>
        <v>6.9705000000000004</v>
      </c>
      <c r="K208" s="11">
        <f>[6]NvR!AE24/1000</f>
        <v>7.7934999999999999</v>
      </c>
      <c r="L208" s="10">
        <f>[6]NvR!AF24/1000</f>
        <v>10.432799999999999</v>
      </c>
      <c r="M208" s="10">
        <f>[6]NvR!AG24/1000</f>
        <v>11.969299999999999</v>
      </c>
      <c r="N208" s="10">
        <f>[6]NvR!AH24/1000</f>
        <v>12.6891</v>
      </c>
      <c r="O208" s="10">
        <f>[6]NvR!AI24/1000</f>
        <v>13.1075</v>
      </c>
      <c r="P208" s="10">
        <f>[6]NvR!AJ24/1000</f>
        <v>12.784270643948418</v>
      </c>
      <c r="Q208" s="10">
        <f>[6]NvR!AK24/1000</f>
        <v>11.97041577581923</v>
      </c>
      <c r="R208" s="6"/>
    </row>
    <row r="209" spans="1:21" ht="14" hidden="1">
      <c r="A209" s="67"/>
      <c r="B209" s="191" t="s">
        <v>362</v>
      </c>
      <c r="C209" s="153" t="s">
        <v>364</v>
      </c>
      <c r="D209" s="59">
        <v>2.4246999999999996</v>
      </c>
      <c r="E209" s="5">
        <v>3.0945999999999998</v>
      </c>
      <c r="F209" s="5">
        <v>3.1705999999999999</v>
      </c>
      <c r="G209" s="5">
        <v>3.4058196984882643</v>
      </c>
      <c r="H209" s="59">
        <v>3.5357906528546725</v>
      </c>
      <c r="I209" s="5">
        <v>4.0139899655176503</v>
      </c>
      <c r="J209" s="5">
        <v>4.7727723389531169</v>
      </c>
      <c r="K209" s="6">
        <v>7.0529970707902256</v>
      </c>
      <c r="L209" s="5">
        <v>9.7171999200582189</v>
      </c>
      <c r="M209" s="5">
        <v>10.59249979119685</v>
      </c>
      <c r="N209" s="5">
        <v>11.065379246160997</v>
      </c>
      <c r="O209" s="5">
        <v>11.065379246160997</v>
      </c>
      <c r="P209" s="5">
        <v>12.065379246160999</v>
      </c>
      <c r="Q209" s="5">
        <v>12.065379246160999</v>
      </c>
      <c r="R209" s="6"/>
    </row>
    <row r="210" spans="1:21" s="18" customFormat="1" ht="28" hidden="1">
      <c r="A210" s="69" t="s">
        <v>43</v>
      </c>
      <c r="B210" s="201" t="s">
        <v>365</v>
      </c>
      <c r="C210" s="163" t="s">
        <v>366</v>
      </c>
      <c r="D210" s="40">
        <v>27306.5</v>
      </c>
      <c r="E210" s="18">
        <v>28908.7</v>
      </c>
      <c r="F210" s="18">
        <v>30134.600000000002</v>
      </c>
      <c r="G210" s="18">
        <v>30835.7</v>
      </c>
      <c r="H210" s="40">
        <v>33487.5</v>
      </c>
      <c r="I210" s="18">
        <f>[6]NvR!AC43</f>
        <v>33497.436099999999</v>
      </c>
      <c r="J210" s="18">
        <f>[6]NvR!AD43</f>
        <v>33864.804099999994</v>
      </c>
      <c r="K210" s="19">
        <f>[6]NvR!AE43</f>
        <v>18963.899999999998</v>
      </c>
      <c r="L210" s="18">
        <f>[6]NvR!AF43</f>
        <v>20334.200000000004</v>
      </c>
      <c r="M210" s="18">
        <f>[6]NvR!AG43</f>
        <v>28583.600000000002</v>
      </c>
      <c r="N210" s="18">
        <f>[6]NvR!AH43</f>
        <v>33839.955799999996</v>
      </c>
      <c r="O210" s="18">
        <f>[6]NvR!AI43</f>
        <v>39411.700000000004</v>
      </c>
      <c r="P210" s="18">
        <f>[6]NvR!AJ43</f>
        <v>42659.451005644347</v>
      </c>
      <c r="Q210" s="18">
        <f>[6]NvR!AK43</f>
        <v>45558.56387929523</v>
      </c>
      <c r="R210" s="19"/>
    </row>
    <row r="211" spans="1:21" ht="28" hidden="1">
      <c r="A211" s="66"/>
      <c r="B211" s="2" t="s">
        <v>354</v>
      </c>
      <c r="C211" s="153" t="s">
        <v>366</v>
      </c>
      <c r="D211" s="59">
        <v>608.70000000000005</v>
      </c>
      <c r="E211" s="5">
        <v>612</v>
      </c>
      <c r="F211" s="5">
        <v>494.7</v>
      </c>
      <c r="G211" s="5">
        <v>448.4</v>
      </c>
      <c r="H211" s="59">
        <v>467.4</v>
      </c>
      <c r="I211" s="5">
        <f>[6]NvR!AC44</f>
        <v>466</v>
      </c>
      <c r="J211" s="5">
        <f>[6]NvR!AD44</f>
        <v>543.79999999999995</v>
      </c>
      <c r="K211" s="6">
        <f>[6]NvR!AE44</f>
        <v>172.5</v>
      </c>
      <c r="L211" s="5">
        <f>[6]NvR!AF44</f>
        <v>103.9</v>
      </c>
      <c r="M211" s="5">
        <f>[6]NvR!AG44</f>
        <v>193.9</v>
      </c>
      <c r="N211" s="5">
        <f>[6]NvR!AH44</f>
        <v>313.60000000000002</v>
      </c>
      <c r="O211" s="5">
        <f>[6]NvR!AI44</f>
        <v>377.2</v>
      </c>
      <c r="P211" s="5">
        <f>[6]NvR!AJ44</f>
        <v>449.14469420954902</v>
      </c>
      <c r="Q211" s="5">
        <f>[6]NvR!AK44</f>
        <v>619.99473527851455</v>
      </c>
      <c r="R211" s="6"/>
    </row>
    <row r="212" spans="1:21" ht="28" hidden="1">
      <c r="A212" s="66"/>
      <c r="B212" s="2" t="s">
        <v>367</v>
      </c>
      <c r="C212" s="153" t="s">
        <v>366</v>
      </c>
      <c r="D212" s="59">
        <v>21879.7</v>
      </c>
      <c r="E212" s="5">
        <v>22991.9</v>
      </c>
      <c r="F212" s="5">
        <v>23825.1</v>
      </c>
      <c r="G212" s="5">
        <v>24429</v>
      </c>
      <c r="H212" s="59">
        <v>24885.7</v>
      </c>
      <c r="I212" s="5">
        <f>[6]NvR!AC45</f>
        <v>25276.5</v>
      </c>
      <c r="J212" s="5">
        <f>[6]NvR!AD45</f>
        <v>25950.1</v>
      </c>
      <c r="K212" s="6">
        <f>[6]NvR!AE45</f>
        <v>16973.7</v>
      </c>
      <c r="L212" s="5">
        <f>[6]NvR!AF45</f>
        <v>16892.400000000001</v>
      </c>
      <c r="M212" s="5">
        <f>[6]NvR!AG45</f>
        <v>21118.9</v>
      </c>
      <c r="N212" s="5">
        <f>[6]NvR!AH45</f>
        <v>25645.255799999999</v>
      </c>
      <c r="O212" s="5">
        <f>[6]NvR!AI45</f>
        <v>28424.600000000002</v>
      </c>
      <c r="P212" s="5">
        <f>[6]NvR!AJ45</f>
        <v>30900</v>
      </c>
      <c r="Q212" s="5">
        <f>[6]NvR!AK45</f>
        <v>33950</v>
      </c>
      <c r="R212" s="6"/>
    </row>
    <row r="213" spans="1:21" ht="28" hidden="1">
      <c r="A213" s="66"/>
      <c r="B213" s="2" t="s">
        <v>356</v>
      </c>
      <c r="C213" s="153" t="s">
        <v>366</v>
      </c>
      <c r="D213" s="59">
        <v>4.8</v>
      </c>
      <c r="E213" s="5">
        <v>5.2</v>
      </c>
      <c r="F213" s="5">
        <v>3.4</v>
      </c>
      <c r="G213" s="5">
        <v>9.4</v>
      </c>
      <c r="H213" s="59">
        <v>8</v>
      </c>
      <c r="I213" s="5">
        <f>[6]NvR!AC46</f>
        <v>6.8</v>
      </c>
      <c r="J213" s="5">
        <f>[6]NvR!AD46</f>
        <v>9.4581999999999997</v>
      </c>
      <c r="K213" s="6">
        <f>[6]NvR!AE46</f>
        <v>9.3000000000000007</v>
      </c>
      <c r="L213" s="5">
        <f>[6]NvR!AF46</f>
        <v>8.4</v>
      </c>
      <c r="M213" s="5">
        <f>[6]NvR!AG46</f>
        <v>10.199999999999999</v>
      </c>
      <c r="N213" s="5">
        <f>[6]NvR!AH46</f>
        <v>11.099999999999998</v>
      </c>
      <c r="O213" s="5">
        <f>[6]NvR!AI46</f>
        <v>13</v>
      </c>
      <c r="P213" s="5">
        <f>[6]NvR!AJ46</f>
        <v>13.295999999999999</v>
      </c>
      <c r="Q213" s="5">
        <f>[6]NvR!AK46</f>
        <v>13.523200000000001</v>
      </c>
      <c r="R213" s="6"/>
    </row>
    <row r="214" spans="1:21" ht="28" hidden="1">
      <c r="A214" s="66"/>
      <c r="B214" s="2" t="s">
        <v>357</v>
      </c>
      <c r="C214" s="153" t="s">
        <v>366</v>
      </c>
      <c r="D214" s="59">
        <v>2579.6</v>
      </c>
      <c r="E214" s="5">
        <v>2922.1</v>
      </c>
      <c r="F214" s="5">
        <v>3361.4</v>
      </c>
      <c r="G214" s="5">
        <v>3548.8</v>
      </c>
      <c r="H214" s="59">
        <v>5601.3</v>
      </c>
      <c r="I214" s="5">
        <f>[6]NvR!AC47</f>
        <v>5199.1000000000004</v>
      </c>
      <c r="J214" s="5">
        <f>[6]NvR!AD47</f>
        <v>4749.8999999999996</v>
      </c>
      <c r="K214" s="6">
        <f>[6]NvR!AE47</f>
        <v>984.1</v>
      </c>
      <c r="L214" s="5">
        <f>[6]NvR!AF47</f>
        <v>2333.9</v>
      </c>
      <c r="M214" s="5">
        <f>[6]NvR!AG47</f>
        <v>4797.3999999999996</v>
      </c>
      <c r="N214" s="5">
        <f>[6]NvR!AH47</f>
        <v>5279.8</v>
      </c>
      <c r="O214" s="5">
        <f>[6]NvR!AI47</f>
        <v>7888.6</v>
      </c>
      <c r="P214" s="5">
        <f>[6]NvR!AJ47</f>
        <v>8697.0103114348003</v>
      </c>
      <c r="Q214" s="5">
        <f>[6]NvR!AK47</f>
        <v>8933.1269440167071</v>
      </c>
      <c r="R214" s="6"/>
    </row>
    <row r="215" spans="1:21" ht="28" hidden="1">
      <c r="A215" s="67"/>
      <c r="B215" s="7" t="s">
        <v>368</v>
      </c>
      <c r="C215" s="154" t="s">
        <v>366</v>
      </c>
      <c r="D215" s="60">
        <v>2233.6999999999998</v>
      </c>
      <c r="E215" s="10">
        <v>2377.5</v>
      </c>
      <c r="F215" s="10">
        <v>2450</v>
      </c>
      <c r="G215" s="10">
        <v>2400.1</v>
      </c>
      <c r="H215" s="60">
        <v>2525.1</v>
      </c>
      <c r="I215" s="10">
        <f>[6]NvR!AC48</f>
        <v>2549.0361000000003</v>
      </c>
      <c r="J215" s="10">
        <f>[6]NvR!AD48</f>
        <v>2611.5459000000001</v>
      </c>
      <c r="K215" s="11">
        <f>[6]NvR!AE48</f>
        <v>824.3</v>
      </c>
      <c r="L215" s="10">
        <f>[6]NvR!AF48</f>
        <v>995.6</v>
      </c>
      <c r="M215" s="10">
        <f>[6]NvR!AG48</f>
        <v>2463.1999999999998</v>
      </c>
      <c r="N215" s="10">
        <f>[6]NvR!AH48</f>
        <v>2590.1999999999998</v>
      </c>
      <c r="O215" s="10">
        <f>[6]NvR!AI48</f>
        <v>2708.3</v>
      </c>
      <c r="P215" s="10">
        <f>[6]NvR!AJ48</f>
        <v>2600</v>
      </c>
      <c r="Q215" s="10">
        <f>[6]NvR!AK48</f>
        <v>2041.9190000000003</v>
      </c>
      <c r="R215" s="6"/>
    </row>
    <row r="216" spans="1:21" s="27" customFormat="1" ht="14" hidden="1">
      <c r="A216" s="129" t="s">
        <v>42</v>
      </c>
      <c r="B216" s="190" t="s">
        <v>369</v>
      </c>
      <c r="C216" s="171"/>
      <c r="D216" s="130"/>
      <c r="E216" s="131"/>
      <c r="F216" s="131"/>
      <c r="G216" s="131"/>
      <c r="H216" s="130"/>
      <c r="I216" s="131"/>
      <c r="J216" s="131"/>
      <c r="K216" s="132"/>
      <c r="L216" s="131"/>
      <c r="M216" s="131"/>
      <c r="N216" s="131"/>
      <c r="O216" s="131"/>
      <c r="P216" s="131"/>
      <c r="Q216" s="131"/>
      <c r="R216" s="132"/>
      <c r="S216" s="131"/>
      <c r="T216" s="131"/>
      <c r="U216" s="131"/>
    </row>
    <row r="217" spans="1:21" ht="28" hidden="1">
      <c r="A217" s="68" t="s">
        <v>44</v>
      </c>
      <c r="B217" s="201" t="s">
        <v>370</v>
      </c>
      <c r="C217" s="163" t="s">
        <v>30</v>
      </c>
      <c r="D217" s="40">
        <v>10130.1</v>
      </c>
      <c r="E217" s="18">
        <v>10101.9</v>
      </c>
      <c r="F217" s="18">
        <v>10697.3</v>
      </c>
      <c r="G217" s="18">
        <v>10189</v>
      </c>
      <c r="H217" s="40">
        <v>10127</v>
      </c>
      <c r="I217" s="18">
        <f>[6]NvR!AC122</f>
        <v>10339.700000000001</v>
      </c>
      <c r="J217" s="18">
        <f>[6]NvR!AD122</f>
        <v>10750.3</v>
      </c>
      <c r="K217" s="19">
        <f>[6]NvR!AE122</f>
        <v>10344.299999999999</v>
      </c>
      <c r="L217" s="18">
        <f>[6]NvR!AF122</f>
        <v>10817.1</v>
      </c>
      <c r="M217" s="18">
        <f>[6]NvR!AG122</f>
        <v>11068.1</v>
      </c>
      <c r="N217" s="18">
        <f>[6]NvR!AH122</f>
        <v>10954.6</v>
      </c>
      <c r="O217" s="18">
        <f>[6]NvR!AI122</f>
        <v>11323</v>
      </c>
      <c r="P217" s="18">
        <f>[6]NvR!AJ122</f>
        <v>11500</v>
      </c>
      <c r="Q217" s="18">
        <f>[6]NvR!AK122</f>
        <v>11550</v>
      </c>
      <c r="R217" s="19"/>
      <c r="S217" s="18"/>
      <c r="T217" s="18"/>
      <c r="U217" s="18"/>
    </row>
    <row r="218" spans="1:21" ht="14" hidden="1">
      <c r="A218" s="68" t="s">
        <v>45</v>
      </c>
      <c r="B218" s="203" t="s">
        <v>371</v>
      </c>
      <c r="C218" s="172" t="s">
        <v>50</v>
      </c>
      <c r="D218" s="73">
        <v>1470.4</v>
      </c>
      <c r="E218" s="36">
        <v>1485.2999999999997</v>
      </c>
      <c r="F218" s="36">
        <v>1449.7</v>
      </c>
      <c r="G218" s="36">
        <v>1428.2</v>
      </c>
      <c r="H218" s="73">
        <v>1455.5</v>
      </c>
      <c r="I218" s="36">
        <f>[6]NvR!AC123</f>
        <v>1462.4159999999999</v>
      </c>
      <c r="J218" s="36">
        <f>[6]NvR!AD123</f>
        <v>1499.8720000000001</v>
      </c>
      <c r="K218" s="37">
        <f>[6]NvR!AE123</f>
        <v>1485.7</v>
      </c>
      <c r="L218" s="36">
        <f>[6]NvR!AF123</f>
        <v>1484.3</v>
      </c>
      <c r="M218" s="36">
        <f>[6]NvR!AG123</f>
        <v>1443.6</v>
      </c>
      <c r="N218" s="36">
        <f>[6]NvR!AH123</f>
        <v>1403.5</v>
      </c>
      <c r="O218" s="36">
        <f>[6]NvR!AI123</f>
        <v>1400</v>
      </c>
      <c r="P218" s="36">
        <f>[6]NvR!AJ123</f>
        <v>1050</v>
      </c>
      <c r="Q218" s="36">
        <f>[6]NvR!AK123</f>
        <v>1050</v>
      </c>
      <c r="R218" s="19"/>
      <c r="S218" s="18"/>
      <c r="T218" s="18"/>
      <c r="U218" s="18"/>
    </row>
    <row r="219" spans="1:21" ht="28" hidden="1">
      <c r="A219" s="92" t="s">
        <v>46</v>
      </c>
      <c r="B219" s="203" t="s">
        <v>372</v>
      </c>
      <c r="C219" s="172" t="s">
        <v>277</v>
      </c>
      <c r="D219" s="73">
        <v>18.649999999999999</v>
      </c>
      <c r="E219" s="36">
        <v>17</v>
      </c>
      <c r="F219" s="36">
        <v>16</v>
      </c>
      <c r="G219" s="36">
        <v>15</v>
      </c>
      <c r="H219" s="73">
        <v>15</v>
      </c>
      <c r="I219" s="36">
        <f>[6]NvR!AC124</f>
        <v>15</v>
      </c>
      <c r="J219" s="36">
        <f>[6]NvR!AD124</f>
        <v>15</v>
      </c>
      <c r="K219" s="37">
        <f>[6]NvR!AE124</f>
        <v>15</v>
      </c>
      <c r="L219" s="36">
        <f>[6]NvR!AF124</f>
        <v>15</v>
      </c>
      <c r="M219" s="36">
        <f>[6]NvR!AG124</f>
        <v>14</v>
      </c>
      <c r="N219" s="36">
        <f>[6]NvR!AH124</f>
        <v>14</v>
      </c>
      <c r="O219" s="36">
        <f>[6]NvR!AI124</f>
        <v>14</v>
      </c>
      <c r="R219" s="6"/>
    </row>
    <row r="220" spans="1:21" ht="27.5" customHeight="1">
      <c r="B220" s="257"/>
      <c r="C220" s="257"/>
      <c r="D220" s="257"/>
      <c r="E220" s="257"/>
      <c r="F220" s="257"/>
      <c r="G220" s="257"/>
      <c r="H220" s="257"/>
      <c r="I220" s="257"/>
      <c r="J220" s="257"/>
      <c r="K220" s="257"/>
      <c r="L220" s="257"/>
      <c r="M220" s="257"/>
      <c r="N220" s="257"/>
      <c r="O220" s="257"/>
      <c r="P220" s="257"/>
      <c r="Q220" s="257"/>
      <c r="R220" s="257"/>
      <c r="S220" s="232"/>
      <c r="T220" s="3"/>
      <c r="U220" s="3"/>
    </row>
  </sheetData>
  <mergeCells count="7">
    <mergeCell ref="A1:S1"/>
    <mergeCell ref="B220:R220"/>
    <mergeCell ref="A2:A3"/>
    <mergeCell ref="B2:B3"/>
    <mergeCell ref="C2:C3"/>
    <mergeCell ref="D2:K2"/>
    <mergeCell ref="P2:T2"/>
  </mergeCells>
  <pageMargins left="0.54" right="7.8740157480315001E-2" top="0.39370078740157499" bottom="0.59055118110236204" header="0.31496062992126" footer="0.31496062992126"/>
  <pageSetup paperSize="9" firstPageNumber="5" fitToHeight="2" orientation="portrait" useFirstPageNumber="1" r:id="rId1"/>
  <headerFooter>
    <oddFooter>&amp;L &amp;Csəh.&amp;P</oddFooter>
  </headerFooter>
  <rowBreaks count="2" manualBreakCount="2">
    <brk id="58" max="19" man="1"/>
    <brk id="180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5">
    <pageSetUpPr fitToPage="1"/>
  </sheetPr>
  <dimension ref="A1:U74"/>
  <sheetViews>
    <sheetView view="pageBreakPreview" zoomScaleSheetLayoutView="100" workbookViewId="0">
      <pane xSplit="3" ySplit="3" topLeftCell="P4" activePane="bottomRight" state="frozenSplit"/>
      <selection activeCell="W14" sqref="W14"/>
      <selection pane="topRight" activeCell="W14" sqref="W14"/>
      <selection pane="bottomLeft" activeCell="W14" sqref="W14"/>
      <selection pane="bottomRight" activeCell="P3" sqref="P1:P1048576"/>
    </sheetView>
  </sheetViews>
  <sheetFormatPr baseColWidth="10" defaultColWidth="9.1640625" defaultRowHeight="13" outlineLevelCol="1"/>
  <cols>
    <col min="1" max="1" width="4.83203125" style="23" customWidth="1"/>
    <col min="2" max="2" width="26.5" style="4" customWidth="1"/>
    <col min="3" max="3" width="10.5" style="162" customWidth="1"/>
    <col min="4" max="6" width="7.83203125" style="5" hidden="1" customWidth="1" outlineLevel="1"/>
    <col min="7" max="7" width="7.83203125" style="5" hidden="1" customWidth="1" collapsed="1"/>
    <col min="8" max="8" width="7.83203125" style="59" hidden="1" customWidth="1"/>
    <col min="9" max="9" width="9.33203125" style="59" hidden="1" customWidth="1"/>
    <col min="10" max="10" width="9.33203125" style="5" hidden="1" customWidth="1"/>
    <col min="11" max="11" width="10.83203125" style="6" hidden="1" customWidth="1"/>
    <col min="12" max="16" width="10.83203125" style="5" hidden="1" customWidth="1"/>
    <col min="17" max="20" width="10.83203125" style="5" customWidth="1"/>
    <col min="21" max="21" width="10.83203125" style="5" hidden="1" customWidth="1"/>
    <col min="22" max="16384" width="9.1640625" style="5"/>
  </cols>
  <sheetData>
    <row r="1" spans="1:21" customFormat="1" ht="27" customHeight="1">
      <c r="A1" s="242" t="s">
        <v>380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34"/>
    </row>
    <row r="2" spans="1:21" customFormat="1">
      <c r="A2" s="253" t="s">
        <v>0</v>
      </c>
      <c r="B2" s="240" t="s">
        <v>1</v>
      </c>
      <c r="C2" s="248" t="s">
        <v>2</v>
      </c>
      <c r="D2" s="250" t="s">
        <v>13</v>
      </c>
      <c r="E2" s="251"/>
      <c r="F2" s="251"/>
      <c r="G2" s="251"/>
      <c r="H2" s="251"/>
      <c r="I2" s="251"/>
      <c r="J2" s="251"/>
      <c r="K2" s="252"/>
      <c r="L2" s="235"/>
      <c r="M2" s="236"/>
      <c r="N2" s="236"/>
      <c r="O2" s="236"/>
      <c r="P2" s="239" t="s">
        <v>3</v>
      </c>
      <c r="Q2" s="240"/>
      <c r="R2" s="240"/>
      <c r="S2" s="240"/>
      <c r="T2" s="241"/>
      <c r="U2" s="238"/>
    </row>
    <row r="3" spans="1:21" customFormat="1" ht="12.5" customHeight="1">
      <c r="A3" s="254"/>
      <c r="B3" s="255"/>
      <c r="C3" s="249"/>
      <c r="D3" s="105">
        <f t="shared" ref="D3:K3" si="0">E3-1</f>
        <v>2013</v>
      </c>
      <c r="E3" s="106">
        <f t="shared" si="0"/>
        <v>2014</v>
      </c>
      <c r="F3" s="106">
        <f t="shared" si="0"/>
        <v>2015</v>
      </c>
      <c r="G3" s="106">
        <f t="shared" si="0"/>
        <v>2016</v>
      </c>
      <c r="H3" s="105">
        <f t="shared" si="0"/>
        <v>2017</v>
      </c>
      <c r="I3" s="105">
        <f t="shared" si="0"/>
        <v>2018</v>
      </c>
      <c r="J3" s="106">
        <f t="shared" si="0"/>
        <v>2019</v>
      </c>
      <c r="K3" s="208">
        <f t="shared" si="0"/>
        <v>2020</v>
      </c>
      <c r="L3" s="222">
        <f>M3-1</f>
        <v>2021</v>
      </c>
      <c r="M3" s="222">
        <v>2022</v>
      </c>
      <c r="N3" s="222">
        <v>2023</v>
      </c>
      <c r="O3" s="222">
        <v>2024</v>
      </c>
      <c r="P3" s="237">
        <v>2025</v>
      </c>
      <c r="Q3" s="222">
        <v>2026</v>
      </c>
      <c r="R3" s="233">
        <v>2027</v>
      </c>
      <c r="S3" s="233">
        <v>2028</v>
      </c>
      <c r="T3" s="231">
        <v>2029</v>
      </c>
      <c r="U3" s="231">
        <v>2030</v>
      </c>
    </row>
    <row r="4" spans="1:21" customFormat="1" ht="14">
      <c r="A4" s="93"/>
      <c r="B4" s="32" t="s">
        <v>60</v>
      </c>
      <c r="C4" s="173" t="s">
        <v>61</v>
      </c>
      <c r="D4" s="72">
        <v>104.94</v>
      </c>
      <c r="E4" s="33">
        <v>94.76</v>
      </c>
      <c r="F4" s="33">
        <v>52.292256937840413</v>
      </c>
      <c r="G4" s="33">
        <v>43.477243273102104</v>
      </c>
      <c r="H4" s="72">
        <v>55.174565615453474</v>
      </c>
      <c r="I4" s="72">
        <f>[1]IN!AC5</f>
        <v>71.530797199115113</v>
      </c>
      <c r="J4" s="33">
        <f>[1]IN!AD5</f>
        <v>64.03</v>
      </c>
      <c r="K4" s="34">
        <f>[1]IN!AE5</f>
        <v>42.3</v>
      </c>
      <c r="L4" s="223">
        <f>[1]IN!AF5</f>
        <v>70.44</v>
      </c>
      <c r="M4" s="224">
        <f>[1]IN!AG5</f>
        <v>99.82</v>
      </c>
      <c r="N4" s="224">
        <f>[1]IN!AH5</f>
        <v>82.62</v>
      </c>
      <c r="O4" s="224">
        <f>[1]IN!AI5</f>
        <v>80.7</v>
      </c>
      <c r="P4" s="223">
        <f>[1]IN!AJ5</f>
        <v>70</v>
      </c>
      <c r="Q4" s="224">
        <f>[1]IN!AK5</f>
        <v>65</v>
      </c>
      <c r="R4" s="224">
        <f>[1]IN!AL5</f>
        <v>65</v>
      </c>
      <c r="S4" s="224">
        <f>[1]IN!AM5</f>
        <v>65</v>
      </c>
      <c r="T4" s="225">
        <f>[1]IN!AN5</f>
        <v>65</v>
      </c>
      <c r="U4" s="225">
        <f>[1]IN!AO5</f>
        <v>65</v>
      </c>
    </row>
    <row r="5" spans="1:21" customFormat="1">
      <c r="A5" s="227"/>
      <c r="B5" s="217"/>
      <c r="C5" s="228"/>
      <c r="D5" s="187"/>
      <c r="E5" s="187"/>
      <c r="F5" s="187"/>
      <c r="G5" s="187"/>
      <c r="H5" s="209"/>
      <c r="I5" s="209"/>
      <c r="J5" s="187"/>
      <c r="K5" s="229"/>
      <c r="L5" s="187"/>
      <c r="M5" s="187"/>
      <c r="N5" s="187"/>
      <c r="O5" s="187"/>
      <c r="P5" s="217"/>
      <c r="Q5" s="217"/>
      <c r="R5" s="14"/>
      <c r="S5" s="14"/>
      <c r="T5" s="14"/>
      <c r="U5" s="14"/>
    </row>
    <row r="6" spans="1:21" customFormat="1">
      <c r="A6" s="13"/>
      <c r="B6" s="14"/>
      <c r="C6" s="174"/>
      <c r="D6" s="15"/>
      <c r="E6" s="15"/>
      <c r="F6" s="15"/>
      <c r="G6" s="15"/>
      <c r="H6" s="101"/>
      <c r="I6" s="101"/>
      <c r="J6" s="15"/>
      <c r="K6" s="90"/>
      <c r="L6" s="15"/>
      <c r="M6" s="15"/>
      <c r="N6" s="15"/>
      <c r="O6" s="15"/>
      <c r="P6" s="14"/>
      <c r="Q6" s="14"/>
      <c r="R6" s="14"/>
      <c r="S6" s="14"/>
      <c r="T6" s="14"/>
      <c r="U6" s="14"/>
    </row>
    <row r="7" spans="1:21" customFormat="1" ht="27" customHeight="1">
      <c r="A7" s="242" t="s">
        <v>379</v>
      </c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34"/>
    </row>
    <row r="8" spans="1:21" customFormat="1">
      <c r="A8" s="253" t="s">
        <v>0</v>
      </c>
      <c r="B8" s="248" t="s">
        <v>1</v>
      </c>
      <c r="C8" s="248" t="s">
        <v>2</v>
      </c>
      <c r="D8" s="250" t="s">
        <v>13</v>
      </c>
      <c r="E8" s="251"/>
      <c r="F8" s="251"/>
      <c r="G8" s="251"/>
      <c r="H8" s="251"/>
      <c r="I8" s="251"/>
      <c r="J8" s="251"/>
      <c r="K8" s="252"/>
      <c r="L8" s="235"/>
      <c r="M8" s="236"/>
      <c r="N8" s="236"/>
      <c r="O8" s="236"/>
      <c r="P8" s="239" t="s">
        <v>3</v>
      </c>
      <c r="Q8" s="240"/>
      <c r="R8" s="240"/>
      <c r="S8" s="240"/>
      <c r="T8" s="241"/>
      <c r="U8" s="238"/>
    </row>
    <row r="9" spans="1:21" customFormat="1" ht="12.5" customHeight="1">
      <c r="A9" s="254"/>
      <c r="B9" s="249"/>
      <c r="C9" s="249"/>
      <c r="D9" s="105">
        <f t="shared" ref="D9:L9" si="1">D3</f>
        <v>2013</v>
      </c>
      <c r="E9" s="106">
        <f t="shared" si="1"/>
        <v>2014</v>
      </c>
      <c r="F9" s="106">
        <f t="shared" si="1"/>
        <v>2015</v>
      </c>
      <c r="G9" s="105">
        <f t="shared" si="1"/>
        <v>2016</v>
      </c>
      <c r="H9" s="105">
        <f t="shared" si="1"/>
        <v>2017</v>
      </c>
      <c r="I9" s="105">
        <f t="shared" si="1"/>
        <v>2018</v>
      </c>
      <c r="J9" s="106">
        <f t="shared" si="1"/>
        <v>2019</v>
      </c>
      <c r="K9" s="218">
        <f t="shared" si="1"/>
        <v>2020</v>
      </c>
      <c r="L9" s="220">
        <f t="shared" si="1"/>
        <v>2021</v>
      </c>
      <c r="M9" s="221">
        <f>M3</f>
        <v>2022</v>
      </c>
      <c r="N9" s="221">
        <f>N3</f>
        <v>2023</v>
      </c>
      <c r="O9" s="221">
        <f>O3</f>
        <v>2024</v>
      </c>
      <c r="P9" s="220">
        <f>P3</f>
        <v>2025</v>
      </c>
      <c r="Q9" s="221">
        <v>2026</v>
      </c>
      <c r="R9" s="221">
        <v>2027</v>
      </c>
      <c r="S9" s="221">
        <v>2028</v>
      </c>
      <c r="T9" s="218">
        <v>2029</v>
      </c>
      <c r="U9" s="218">
        <v>2030</v>
      </c>
    </row>
    <row r="10" spans="1:21" customFormat="1" ht="14">
      <c r="A10" s="122" t="s">
        <v>24</v>
      </c>
      <c r="B10" s="108" t="s">
        <v>135</v>
      </c>
      <c r="C10" s="152" t="s">
        <v>12</v>
      </c>
      <c r="D10" s="118">
        <v>17850.8</v>
      </c>
      <c r="E10" s="119">
        <v>17618.599999999999</v>
      </c>
      <c r="F10" s="119">
        <v>15957.028200000001</v>
      </c>
      <c r="G10" s="119">
        <v>15772.8076</v>
      </c>
      <c r="H10" s="120">
        <v>17430.3</v>
      </c>
      <c r="I10" s="118">
        <f>[1]Investisiya!AC5</f>
        <v>17244.8629</v>
      </c>
      <c r="J10" s="119">
        <f>[1]Investisiya!AD5</f>
        <v>18539.476500000001</v>
      </c>
      <c r="K10" s="121">
        <f>[1]Investisiya!AE5</f>
        <v>17226.14</v>
      </c>
      <c r="L10" s="123">
        <f>[1]Investisiya!AF5</f>
        <v>16815.489999999998</v>
      </c>
      <c r="M10" s="123">
        <f>[1]Investisiya!AG5</f>
        <v>17878.150000000001</v>
      </c>
      <c r="N10" s="123">
        <f>[1]Investisiya!AH5</f>
        <v>21310.7</v>
      </c>
      <c r="O10" s="123">
        <f>[1]Investisiya!AI5</f>
        <v>22106.3</v>
      </c>
      <c r="P10" s="120">
        <f>[1]Investisiya!AJ5</f>
        <v>22318.576907053641</v>
      </c>
      <c r="Q10" s="123">
        <f>[1]Investisiya!AK5</f>
        <v>24437.001625405625</v>
      </c>
      <c r="R10" s="123">
        <f>[1]Investisiya!AL5</f>
        <v>26254.575505786768</v>
      </c>
      <c r="S10" s="123">
        <f>[1]Investisiya!AM5</f>
        <v>27429.127873592603</v>
      </c>
      <c r="T10" s="124">
        <f>[1]Investisiya!AN5</f>
        <v>28127.070487504978</v>
      </c>
      <c r="U10" s="124">
        <f>[1]Investisiya!AO5</f>
        <v>26850.744609515568</v>
      </c>
    </row>
    <row r="11" spans="1:21" customFormat="1" ht="14">
      <c r="A11" s="67"/>
      <c r="B11" s="8" t="s">
        <v>16</v>
      </c>
      <c r="C11" s="154" t="s">
        <v>6</v>
      </c>
      <c r="D11" s="60">
        <v>15.1</v>
      </c>
      <c r="E11" s="10">
        <v>-1.7015573531718466</v>
      </c>
      <c r="F11" s="10">
        <v>-11.118609878196901</v>
      </c>
      <c r="G11" s="10">
        <v>-21.736749915877191</v>
      </c>
      <c r="H11" s="60">
        <v>2.8496148650161683</v>
      </c>
      <c r="I11" s="60">
        <f>[1]Investisiya!AC6</f>
        <v>-4.2999999999999972</v>
      </c>
      <c r="J11" s="10">
        <f>[1]Investisiya!AD6</f>
        <v>5.5</v>
      </c>
      <c r="K11" s="11">
        <f>[1]Investisiya!AE6</f>
        <v>-7.2803546454507426</v>
      </c>
      <c r="L11" s="10">
        <f>[1]Investisiya!AF6</f>
        <v>-4.514637521812773</v>
      </c>
      <c r="M11" s="10">
        <f>[1]Investisiya!AG6</f>
        <v>3.3436921552687551</v>
      </c>
      <c r="N11" s="10">
        <f>[1]Investisiya!AH6</f>
        <v>15.183714757958739</v>
      </c>
      <c r="O11" s="10">
        <f>[1]Investisiya!AI6</f>
        <v>2.4035325916089079</v>
      </c>
      <c r="P11" s="60">
        <f>[1]Investisiya!AJ6</f>
        <v>-0.59053244065565025</v>
      </c>
      <c r="Q11" s="10">
        <f>[1]Investisiya!AK6</f>
        <v>7.1977240584331099</v>
      </c>
      <c r="R11" s="10">
        <f>[1]Investisiya!AL6</f>
        <v>5.1867967128318924</v>
      </c>
      <c r="S11" s="10">
        <f>[1]Investisiya!AM6</f>
        <v>2.576048523853089</v>
      </c>
      <c r="T11" s="11">
        <f>[1]Investisiya!AN6</f>
        <v>0.68191539078148367</v>
      </c>
      <c r="U11" s="11">
        <f>[1]Investisiya!AO6</f>
        <v>-6.2716872968243678</v>
      </c>
    </row>
    <row r="12" spans="1:21" customFormat="1" ht="14">
      <c r="A12" s="122" t="s">
        <v>25</v>
      </c>
      <c r="B12" s="189" t="s">
        <v>136</v>
      </c>
      <c r="C12" s="152"/>
      <c r="D12" s="118"/>
      <c r="E12" s="119"/>
      <c r="F12" s="119"/>
      <c r="G12" s="119"/>
      <c r="H12" s="118"/>
      <c r="I12" s="118"/>
      <c r="J12" s="119"/>
      <c r="K12" s="121"/>
      <c r="L12" s="119"/>
      <c r="M12" s="119"/>
      <c r="N12" s="119"/>
      <c r="O12" s="119"/>
      <c r="P12" s="118"/>
      <c r="Q12" s="119"/>
      <c r="R12" s="119"/>
      <c r="S12" s="119"/>
      <c r="T12" s="121"/>
      <c r="U12" s="121"/>
    </row>
    <row r="13" spans="1:21" customFormat="1" ht="14">
      <c r="A13" s="66" t="s">
        <v>32</v>
      </c>
      <c r="B13" s="193" t="s">
        <v>137</v>
      </c>
      <c r="C13" s="153" t="s">
        <v>12</v>
      </c>
      <c r="D13" s="59">
        <v>13178.9</v>
      </c>
      <c r="E13" s="5">
        <v>12715</v>
      </c>
      <c r="F13" s="5">
        <v>9058.5146999999997</v>
      </c>
      <c r="G13" s="5">
        <v>6490.3</v>
      </c>
      <c r="H13" s="59">
        <v>8765.2000000000007</v>
      </c>
      <c r="I13" s="59">
        <f>[1]Investisiya!AC8</f>
        <v>11874.854599999999</v>
      </c>
      <c r="J13" s="5">
        <f>[1]Investisiya!AD8</f>
        <v>12867.0679</v>
      </c>
      <c r="K13" s="6">
        <f>[1]Investisiya!AE8</f>
        <v>12070.84</v>
      </c>
      <c r="L13" s="5">
        <f>[1]Investisiya!AF8</f>
        <v>12561.899999999998</v>
      </c>
      <c r="M13" s="5">
        <f>[1]Investisiya!AG8</f>
        <v>14255.850000000002</v>
      </c>
      <c r="N13" s="5">
        <f>[1]Investisiya!AH8</f>
        <v>17409.7</v>
      </c>
      <c r="O13" s="5">
        <f>[1]Investisiya!AI8</f>
        <v>18774.7</v>
      </c>
      <c r="P13" s="59">
        <f>[1]Investisiya!AJ8</f>
        <v>17205.432052482836</v>
      </c>
      <c r="Q13" s="5">
        <f>[1]Investisiya!AK8</f>
        <v>18356.941963263343</v>
      </c>
      <c r="R13" s="5">
        <f>[1]Investisiya!AL8</f>
        <v>19695.764941420366</v>
      </c>
      <c r="S13" s="5">
        <f>[1]Investisiya!AM8</f>
        <v>20799.708701202631</v>
      </c>
      <c r="T13" s="6">
        <f>[1]Investisiya!AN8</f>
        <v>21737.586199455964</v>
      </c>
      <c r="U13" s="6">
        <f>[1]Investisiya!AO8</f>
        <v>21565.088158997463</v>
      </c>
    </row>
    <row r="14" spans="1:21" customFormat="1" ht="14" hidden="1">
      <c r="A14" s="68"/>
      <c r="B14" s="201" t="s">
        <v>16</v>
      </c>
      <c r="C14" s="163" t="s">
        <v>6</v>
      </c>
      <c r="D14" s="40">
        <v>7.8</v>
      </c>
      <c r="E14" s="18">
        <v>-3.9</v>
      </c>
      <c r="F14" s="18">
        <v>-30.099999999999994</v>
      </c>
      <c r="G14" s="18">
        <v>-29.95</v>
      </c>
      <c r="H14" s="40">
        <v>26.09</v>
      </c>
      <c r="I14" s="40">
        <f>[1]Investisiya!AC9</f>
        <v>31</v>
      </c>
      <c r="J14" s="18">
        <f>[1]Investisiya!AD9</f>
        <v>6.3</v>
      </c>
      <c r="K14" s="19">
        <f>[1]Investisiya!AE9</f>
        <v>-6.39</v>
      </c>
      <c r="L14" s="18">
        <f>[1]Investisiya!AF9</f>
        <v>1.8</v>
      </c>
      <c r="M14" s="18">
        <f>[1]Investisiya!AG9</f>
        <v>10.3</v>
      </c>
      <c r="N14" s="18">
        <f>[1]Investisiya!AH9</f>
        <v>18</v>
      </c>
      <c r="O14" s="18">
        <f>[1]Investisiya!AI9</f>
        <v>6.46</v>
      </c>
      <c r="P14" s="40">
        <f>[1]Investisiya!AJ9</f>
        <v>-9.7660675762858347</v>
      </c>
      <c r="Q14" s="18">
        <f>[1]Investisiya!AK9</f>
        <v>4.4573246432463947</v>
      </c>
      <c r="R14" s="18">
        <f>[1]Investisiya!AL9</f>
        <v>5.0453092987925459</v>
      </c>
      <c r="S14" s="18">
        <f>[1]Investisiya!AM9</f>
        <v>3.6867750373648533</v>
      </c>
      <c r="T14" s="19">
        <f>[1]Investisiya!AN9</f>
        <v>2.6107899681708631</v>
      </c>
      <c r="U14" s="19">
        <f>[1]Investisiya!AO9</f>
        <v>-2.5955300496874543</v>
      </c>
    </row>
    <row r="15" spans="1:21" customFormat="1" ht="14" hidden="1">
      <c r="A15" s="68"/>
      <c r="B15" s="201" t="s">
        <v>392</v>
      </c>
      <c r="C15" s="180" t="s">
        <v>6</v>
      </c>
      <c r="D15" s="40"/>
      <c r="E15" s="18"/>
      <c r="F15" s="18"/>
      <c r="G15" s="18"/>
      <c r="H15" s="40"/>
      <c r="I15" s="40"/>
      <c r="J15" s="18"/>
      <c r="K15" s="178">
        <f t="shared" ref="K15:R15" si="2">K13/K10*100</f>
        <v>70.07280795349395</v>
      </c>
      <c r="L15" s="179">
        <f t="shared" si="2"/>
        <v>74.704335110068158</v>
      </c>
      <c r="M15" s="179">
        <f t="shared" si="2"/>
        <v>79.738955093228341</v>
      </c>
      <c r="N15" s="179">
        <f t="shared" si="2"/>
        <v>81.694641658884976</v>
      </c>
      <c r="O15" s="179">
        <f t="shared" si="2"/>
        <v>84.929183083555372</v>
      </c>
      <c r="P15" s="210">
        <f t="shared" si="2"/>
        <v>77.09018421799631</v>
      </c>
      <c r="Q15" s="179">
        <f t="shared" si="2"/>
        <v>75.119453051796569</v>
      </c>
      <c r="R15" s="179">
        <f t="shared" si="2"/>
        <v>75.01840940859708</v>
      </c>
      <c r="S15" s="179">
        <f>S13/S10*100</f>
        <v>75.830732923986091</v>
      </c>
      <c r="T15" s="178">
        <f>T13/T10*100</f>
        <v>77.283505970209561</v>
      </c>
      <c r="U15" s="178">
        <f>U13/U10*100</f>
        <v>80.314674593251553</v>
      </c>
    </row>
    <row r="16" spans="1:21" customFormat="1" ht="14">
      <c r="A16" s="66" t="s">
        <v>33</v>
      </c>
      <c r="B16" s="193" t="s">
        <v>138</v>
      </c>
      <c r="C16" s="153" t="s">
        <v>12</v>
      </c>
      <c r="D16" s="59">
        <v>4671.8999999999996</v>
      </c>
      <c r="E16" s="5">
        <v>4903.6000000000004</v>
      </c>
      <c r="F16" s="5">
        <v>6898.5135</v>
      </c>
      <c r="G16" s="5">
        <v>9282.5</v>
      </c>
      <c r="H16" s="59">
        <v>8665.1</v>
      </c>
      <c r="I16" s="59">
        <f>[1]Investisiya!AC10</f>
        <v>5370.0082999999995</v>
      </c>
      <c r="J16" s="5">
        <f>[1]Investisiya!AD10</f>
        <v>5672.4085999999998</v>
      </c>
      <c r="K16" s="6">
        <f>[1]Investisiya!AE10</f>
        <v>5155.3</v>
      </c>
      <c r="L16" s="5">
        <f>[1]Investisiya!AF10</f>
        <v>4253.59</v>
      </c>
      <c r="M16" s="5">
        <f>[1]Investisiya!AG10</f>
        <v>3622.3</v>
      </c>
      <c r="N16" s="5">
        <f>[1]Investisiya!AH10</f>
        <v>3901</v>
      </c>
      <c r="O16" s="5">
        <f>[1]Investisiya!AI10</f>
        <v>3331.6</v>
      </c>
      <c r="P16" s="59">
        <f>[1]Investisiya!AJ10</f>
        <v>5113.1448545708026</v>
      </c>
      <c r="Q16" s="10">
        <f>[1]Investisiya!AK10</f>
        <v>6080.059662142281</v>
      </c>
      <c r="R16" s="10">
        <f>[1]Investisiya!AL10</f>
        <v>6558.8105643664021</v>
      </c>
      <c r="S16" s="10">
        <f>[1]Investisiya!AM10</f>
        <v>6629.419172389973</v>
      </c>
      <c r="T16" s="11">
        <f>[1]Investisiya!AN10</f>
        <v>6389.4842880490123</v>
      </c>
      <c r="U16" s="11">
        <f>[1]Investisiya!AO10</f>
        <v>5285.6564505181059</v>
      </c>
    </row>
    <row r="17" spans="1:21" customFormat="1" ht="14" hidden="1">
      <c r="A17" s="66"/>
      <c r="B17" s="193" t="s">
        <v>16</v>
      </c>
      <c r="C17" s="153" t="s">
        <v>6</v>
      </c>
      <c r="D17" s="59">
        <v>42.4</v>
      </c>
      <c r="E17" s="5">
        <v>4.5</v>
      </c>
      <c r="F17" s="5">
        <v>38.1</v>
      </c>
      <c r="G17" s="5">
        <v>-13.45</v>
      </c>
      <c r="H17" s="59">
        <v>-13.4</v>
      </c>
      <c r="I17" s="59">
        <f>[1]Investisiya!AC11</f>
        <v>-40.1</v>
      </c>
      <c r="J17" s="5">
        <f>[1]Investisiya!AD11</f>
        <v>3.7</v>
      </c>
      <c r="K17" s="6">
        <f>[1]Investisiya!AE11</f>
        <v>-9.3000000000000007</v>
      </c>
      <c r="L17" s="5">
        <f>[1]Investisiya!AF11</f>
        <v>-19.3</v>
      </c>
      <c r="M17" s="5">
        <f>[1]Investisiya!AG11</f>
        <v>-17.2</v>
      </c>
      <c r="N17" s="5">
        <f>[1]Investisiya!AH11</f>
        <v>4.0999999999999996</v>
      </c>
      <c r="O17" s="5">
        <f>[1]Investisiya!AI11</f>
        <v>-15.7</v>
      </c>
      <c r="P17" s="59">
        <f>[1]Investisiya!AJ11</f>
        <v>51.116731189706769</v>
      </c>
      <c r="Q17" s="5">
        <f>[1]Investisiya!AK11</f>
        <v>16.419007099634356</v>
      </c>
      <c r="R17" s="5">
        <f>[1]Investisiya!AL11</f>
        <v>5.6139761144131626</v>
      </c>
      <c r="S17" s="5">
        <f>[1]Investisiya!AM11</f>
        <v>-0.75940507854019756</v>
      </c>
      <c r="T17" s="6">
        <f>[1]Investisiya!AN11</f>
        <v>-5.3699012597548688</v>
      </c>
      <c r="U17" s="6">
        <f>[1]Investisiya!AO11</f>
        <v>-18.778296819577136</v>
      </c>
    </row>
    <row r="18" spans="1:21" customFormat="1" ht="14">
      <c r="A18" s="122" t="s">
        <v>17</v>
      </c>
      <c r="B18" s="189" t="s">
        <v>404</v>
      </c>
      <c r="C18" s="152"/>
      <c r="D18" s="118"/>
      <c r="E18" s="119"/>
      <c r="F18" s="119"/>
      <c r="G18" s="119"/>
      <c r="H18" s="120"/>
      <c r="I18" s="118"/>
      <c r="J18" s="119"/>
      <c r="K18" s="121"/>
      <c r="L18" s="119"/>
      <c r="M18" s="119"/>
      <c r="N18" s="119"/>
      <c r="O18" s="119"/>
      <c r="P18" s="118"/>
      <c r="Q18" s="119"/>
      <c r="R18" s="119"/>
      <c r="S18" s="119"/>
      <c r="T18" s="121"/>
      <c r="U18" s="121"/>
    </row>
    <row r="19" spans="1:21" customFormat="1" ht="14">
      <c r="A19" s="66" t="s">
        <v>18</v>
      </c>
      <c r="B19" s="2" t="s">
        <v>139</v>
      </c>
      <c r="C19" s="153" t="s">
        <v>12</v>
      </c>
      <c r="D19" s="59">
        <v>5094.6000000000004</v>
      </c>
      <c r="E19" s="5">
        <v>5959.4</v>
      </c>
      <c r="F19" s="5">
        <v>7137.1</v>
      </c>
      <c r="G19" s="5">
        <v>8648</v>
      </c>
      <c r="H19" s="59">
        <v>8483.9</v>
      </c>
      <c r="I19" s="59">
        <f>[1]Investisiya!AC12</f>
        <v>5995.2085999999999</v>
      </c>
      <c r="J19" s="5">
        <f>[1]Investisiya!AD12</f>
        <v>5848.8829000000005</v>
      </c>
      <c r="K19" s="6">
        <f>[1]Investisiya!AE12</f>
        <v>5987.6</v>
      </c>
      <c r="L19" s="5">
        <f>[1]Investisiya!AF12</f>
        <v>5813.5</v>
      </c>
      <c r="M19" s="5">
        <f>[1]Investisiya!AG12</f>
        <v>5464.85</v>
      </c>
      <c r="N19" s="5">
        <f>[1]Investisiya!AH12</f>
        <v>6306.9</v>
      </c>
      <c r="O19" s="5">
        <f>[1]Investisiya!AI12</f>
        <v>5852</v>
      </c>
      <c r="P19" s="59">
        <f>[1]Investisiya!AJ12</f>
        <v>5865.4269070536375</v>
      </c>
      <c r="Q19" s="5">
        <f>[1]Investisiya!AK12</f>
        <v>7443.1391254056234</v>
      </c>
      <c r="R19" s="5">
        <f>[1]Investisiya!AL12</f>
        <v>8492.0436307867694</v>
      </c>
      <c r="S19" s="5">
        <f>[1]Investisiya!AM12</f>
        <v>8350.7903110926054</v>
      </c>
      <c r="T19" s="6">
        <f>[1]Investisiya!AN12</f>
        <v>7389.5322906299789</v>
      </c>
      <c r="U19" s="6">
        <f>[1]Investisiya!AO12</f>
        <v>4663.9214676405718</v>
      </c>
    </row>
    <row r="20" spans="1:21" customFormat="1" ht="14">
      <c r="A20" s="67" t="s">
        <v>19</v>
      </c>
      <c r="B20" s="196" t="s">
        <v>140</v>
      </c>
      <c r="C20" s="154" t="s">
        <v>12</v>
      </c>
      <c r="D20" s="60">
        <v>12756.199999999999</v>
      </c>
      <c r="E20" s="10">
        <v>11659.199999999999</v>
      </c>
      <c r="F20" s="10">
        <v>8819.9282000000003</v>
      </c>
      <c r="G20" s="10">
        <v>7124.8076000000001</v>
      </c>
      <c r="H20" s="60">
        <v>8946.4</v>
      </c>
      <c r="I20" s="60">
        <f>[1]Investisiya!AC14</f>
        <v>11249.6543</v>
      </c>
      <c r="J20" s="10">
        <f>[1]Investisiya!AD14</f>
        <v>12690.6</v>
      </c>
      <c r="K20" s="11">
        <f>[1]Investisiya!AE14</f>
        <v>11238.539999999999</v>
      </c>
      <c r="L20" s="10">
        <f>[1]Investisiya!AF14</f>
        <v>11001.989999999998</v>
      </c>
      <c r="M20" s="10">
        <f>[1]Investisiya!AG14</f>
        <v>12413.300000000001</v>
      </c>
      <c r="N20" s="10">
        <f>[1]Investisiya!AH14</f>
        <v>15003.800000000001</v>
      </c>
      <c r="O20" s="10">
        <f>[1]Investisiya!AI14</f>
        <v>16254.3</v>
      </c>
      <c r="P20" s="60">
        <f>[1]Investisiya!AJ14</f>
        <v>16453.150000000001</v>
      </c>
      <c r="Q20" s="10">
        <f>[1]Investisiya!AK14</f>
        <v>16993.862500000003</v>
      </c>
      <c r="R20" s="10">
        <f>[1]Investisiya!AL14</f>
        <v>17762.531875000001</v>
      </c>
      <c r="S20" s="10">
        <f>[1]Investisiya!AM14</f>
        <v>19078.337562499997</v>
      </c>
      <c r="T20" s="11">
        <f>[1]Investisiya!AN14</f>
        <v>20737.538196875001</v>
      </c>
      <c r="U20" s="11">
        <f>[1]Investisiya!AO14</f>
        <v>22186.823141874997</v>
      </c>
    </row>
    <row r="21" spans="1:21" customFormat="1" ht="14" hidden="1">
      <c r="A21" s="122" t="s">
        <v>26</v>
      </c>
      <c r="B21" s="189" t="s">
        <v>141</v>
      </c>
      <c r="C21" s="152"/>
      <c r="D21" s="118"/>
      <c r="E21" s="119"/>
      <c r="F21" s="119"/>
      <c r="G21" s="119"/>
      <c r="H21" s="120"/>
      <c r="I21" s="118"/>
      <c r="J21" s="119"/>
      <c r="K21" s="121"/>
      <c r="L21" s="119"/>
      <c r="M21" s="119"/>
      <c r="N21" s="119"/>
      <c r="O21" s="119"/>
      <c r="P21" s="119"/>
      <c r="Q21" s="124"/>
      <c r="R21" s="123"/>
      <c r="S21" s="123"/>
      <c r="T21" s="123"/>
      <c r="U21" s="123"/>
    </row>
    <row r="22" spans="1:21" customFormat="1" ht="14" hidden="1">
      <c r="A22" s="66" t="s">
        <v>142</v>
      </c>
      <c r="B22" s="193" t="s">
        <v>143</v>
      </c>
      <c r="C22" s="153" t="s">
        <v>12</v>
      </c>
      <c r="D22" s="59">
        <v>10647.4</v>
      </c>
      <c r="E22" s="5">
        <v>9126.7000000000007</v>
      </c>
      <c r="F22" s="5">
        <v>5816.2</v>
      </c>
      <c r="G22" s="5">
        <v>5250.3</v>
      </c>
      <c r="H22" s="59">
        <v>6374.5</v>
      </c>
      <c r="I22" s="59">
        <f>[1]Investisiya!AC16</f>
        <v>8432.4</v>
      </c>
      <c r="J22" s="5">
        <f>[1]Investisiya!AD16</f>
        <v>8810.8000000000011</v>
      </c>
      <c r="K22" s="6">
        <f>[1]Investisiya!AE16</f>
        <v>8531.76</v>
      </c>
      <c r="L22" s="5">
        <f>[1]Investisiya!AF16</f>
        <v>7681.2399999999989</v>
      </c>
      <c r="M22" s="5">
        <f>[1]Investisiya!AG16</f>
        <v>9362.2000000000007</v>
      </c>
      <c r="N22" s="5">
        <f>[1]Investisiya!AH16</f>
        <v>11889.6</v>
      </c>
      <c r="O22" s="5">
        <f>[1]Investisiya!AI16</f>
        <v>13352.900000000001</v>
      </c>
      <c r="P22" s="5">
        <f>[1]Investisiya!AJ16</f>
        <v>11210.431926489999</v>
      </c>
      <c r="Q22" s="6">
        <f>[1]Investisiya!AK16</f>
        <v>11252.917413769272</v>
      </c>
      <c r="R22" s="5"/>
      <c r="S22" s="5"/>
      <c r="T22" s="5"/>
      <c r="U22" s="5"/>
    </row>
    <row r="23" spans="1:21" customFormat="1" ht="14" hidden="1">
      <c r="A23" s="66"/>
      <c r="B23" s="196" t="s">
        <v>392</v>
      </c>
      <c r="C23" s="181" t="s">
        <v>6</v>
      </c>
      <c r="D23" s="60"/>
      <c r="E23" s="10"/>
      <c r="F23" s="10"/>
      <c r="G23" s="10"/>
      <c r="H23" s="60"/>
      <c r="I23" s="60"/>
      <c r="J23" s="10"/>
      <c r="K23" s="46">
        <f t="shared" ref="K23:Q23" si="3">K16/K10*100</f>
        <v>29.927192046506068</v>
      </c>
      <c r="L23" s="45">
        <f t="shared" si="3"/>
        <v>25.295664889931846</v>
      </c>
      <c r="M23" s="45">
        <f t="shared" si="3"/>
        <v>20.261044906771673</v>
      </c>
      <c r="N23" s="45">
        <f t="shared" si="3"/>
        <v>18.305358341115028</v>
      </c>
      <c r="O23" s="45">
        <f t="shared" si="3"/>
        <v>15.070816916444635</v>
      </c>
      <c r="P23" s="45">
        <f t="shared" si="3"/>
        <v>22.909815782003676</v>
      </c>
      <c r="Q23" s="46">
        <f t="shared" si="3"/>
        <v>24.880546948203428</v>
      </c>
      <c r="R23" s="42"/>
      <c r="S23" s="42"/>
      <c r="T23" s="42"/>
      <c r="U23" s="42"/>
    </row>
    <row r="24" spans="1:21" customFormat="1" ht="14" hidden="1">
      <c r="A24" s="67" t="s">
        <v>144</v>
      </c>
      <c r="B24" s="9" t="s">
        <v>145</v>
      </c>
      <c r="C24" s="154" t="s">
        <v>12</v>
      </c>
      <c r="D24" s="60">
        <v>7203.4</v>
      </c>
      <c r="E24" s="10">
        <v>8491.8999999999978</v>
      </c>
      <c r="F24" s="10">
        <v>10140.8282</v>
      </c>
      <c r="G24" s="10">
        <v>10522.507600000001</v>
      </c>
      <c r="H24" s="59">
        <v>11055.8</v>
      </c>
      <c r="I24" s="60">
        <f>[1]Investisiya!AC18</f>
        <v>8812.4629000000004</v>
      </c>
      <c r="J24" s="10">
        <f>[1]Investisiya!AD18</f>
        <v>9728.6764999999996</v>
      </c>
      <c r="K24" s="11">
        <f>[1]Investisiya!AE18</f>
        <v>8694.3799999999992</v>
      </c>
      <c r="L24" s="10">
        <f>[1]Investisiya!AF18</f>
        <v>9134.25</v>
      </c>
      <c r="M24" s="10">
        <f>[1]Investisiya!AG18</f>
        <v>8515.9500000000007</v>
      </c>
      <c r="N24" s="10">
        <f>[1]Investisiya!AH18</f>
        <v>9421.1</v>
      </c>
      <c r="O24" s="10">
        <f>[1]Investisiya!AI18</f>
        <v>8753.3999999999978</v>
      </c>
      <c r="P24" s="10">
        <f>[1]Investisiya!AJ18</f>
        <v>11108.144980563642</v>
      </c>
      <c r="Q24" s="11">
        <f>[1]Investisiya!AK18</f>
        <v>13184.084211636353</v>
      </c>
      <c r="R24" s="5"/>
      <c r="S24" s="5"/>
      <c r="T24" s="5"/>
      <c r="U24" s="5"/>
    </row>
    <row r="25" spans="1:21" customFormat="1" hidden="1">
      <c r="A25" s="258"/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14"/>
      <c r="M25" s="14"/>
      <c r="N25" s="14"/>
      <c r="O25" s="217"/>
      <c r="P25" s="14"/>
      <c r="Q25" s="219"/>
      <c r="R25" s="14"/>
      <c r="S25" s="14"/>
      <c r="T25" s="14"/>
      <c r="U25" s="14"/>
    </row>
    <row r="26" spans="1:21" customFormat="1">
      <c r="A26" s="13"/>
      <c r="B26" s="14"/>
      <c r="C26" s="174"/>
      <c r="D26" s="15"/>
      <c r="E26" s="15"/>
      <c r="F26" s="15"/>
      <c r="G26" s="15"/>
      <c r="H26" s="101"/>
      <c r="I26" s="101"/>
      <c r="J26" s="15"/>
      <c r="K26" s="15"/>
      <c r="L26" s="15"/>
      <c r="M26" s="15"/>
      <c r="N26" s="15"/>
      <c r="O26" s="15"/>
      <c r="P26" s="14"/>
      <c r="Q26" s="14"/>
      <c r="R26" s="14"/>
      <c r="S26" s="14"/>
      <c r="T26" s="14"/>
      <c r="U26" s="14"/>
    </row>
    <row r="27" spans="1:21" customFormat="1" ht="27" customHeight="1">
      <c r="A27" s="242" t="s">
        <v>410</v>
      </c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34"/>
    </row>
    <row r="28" spans="1:21" customFormat="1">
      <c r="A28" s="245" t="s">
        <v>0</v>
      </c>
      <c r="B28" s="248" t="s">
        <v>1</v>
      </c>
      <c r="C28" s="248" t="s">
        <v>2</v>
      </c>
      <c r="D28" s="250" t="s">
        <v>13</v>
      </c>
      <c r="E28" s="251"/>
      <c r="F28" s="251"/>
      <c r="G28" s="251"/>
      <c r="H28" s="251"/>
      <c r="I28" s="251"/>
      <c r="J28" s="251"/>
      <c r="K28" s="252"/>
      <c r="L28" s="235"/>
      <c r="M28" s="236"/>
      <c r="N28" s="236"/>
      <c r="O28" s="236"/>
      <c r="P28" s="239" t="s">
        <v>3</v>
      </c>
      <c r="Q28" s="240"/>
      <c r="R28" s="240"/>
      <c r="S28" s="240"/>
      <c r="T28" s="241"/>
      <c r="U28" s="238"/>
    </row>
    <row r="29" spans="1:21" customFormat="1" ht="12.5" customHeight="1">
      <c r="A29" s="246"/>
      <c r="B29" s="249"/>
      <c r="C29" s="249"/>
      <c r="D29" s="105">
        <f t="shared" ref="D29:L29" si="4">D9</f>
        <v>2013</v>
      </c>
      <c r="E29" s="106">
        <f t="shared" si="4"/>
        <v>2014</v>
      </c>
      <c r="F29" s="106">
        <f t="shared" si="4"/>
        <v>2015</v>
      </c>
      <c r="G29" s="105">
        <f t="shared" si="4"/>
        <v>2016</v>
      </c>
      <c r="H29" s="105">
        <f t="shared" si="4"/>
        <v>2017</v>
      </c>
      <c r="I29" s="105">
        <f t="shared" si="4"/>
        <v>2018</v>
      </c>
      <c r="J29" s="106">
        <f t="shared" si="4"/>
        <v>2019</v>
      </c>
      <c r="K29" s="218">
        <f t="shared" si="4"/>
        <v>2020</v>
      </c>
      <c r="L29" s="220">
        <f t="shared" si="4"/>
        <v>2021</v>
      </c>
      <c r="M29" s="221">
        <f>M9</f>
        <v>2022</v>
      </c>
      <c r="N29" s="221">
        <f>N9</f>
        <v>2023</v>
      </c>
      <c r="O29" s="221">
        <f>O9</f>
        <v>2024</v>
      </c>
      <c r="P29" s="220">
        <f>P9</f>
        <v>2025</v>
      </c>
      <c r="Q29" s="221">
        <v>2026</v>
      </c>
      <c r="R29" s="221">
        <v>2027</v>
      </c>
      <c r="S29" s="221">
        <v>2028</v>
      </c>
      <c r="T29" s="218">
        <v>2029</v>
      </c>
      <c r="U29" s="218">
        <v>2030</v>
      </c>
    </row>
    <row r="30" spans="1:21" customFormat="1" ht="14">
      <c r="A30" s="122" t="s">
        <v>24</v>
      </c>
      <c r="B30" s="125" t="s">
        <v>58</v>
      </c>
      <c r="C30" s="152" t="s">
        <v>12</v>
      </c>
      <c r="D30" s="118">
        <v>37562</v>
      </c>
      <c r="E30" s="119">
        <v>39472.199999999997</v>
      </c>
      <c r="F30" s="119">
        <v>41744.800000000003</v>
      </c>
      <c r="G30" s="119">
        <v>45395.1</v>
      </c>
      <c r="H30" s="120">
        <v>49187.9</v>
      </c>
      <c r="I30" s="118">
        <f>'[2]7_10'!AC6</f>
        <v>53103.7</v>
      </c>
      <c r="J30" s="119">
        <f>'[2]7_10'!AD6</f>
        <v>56769</v>
      </c>
      <c r="K30" s="121">
        <f>'[2]7_10'!AE6</f>
        <v>55754.100000000006</v>
      </c>
      <c r="L30" s="123">
        <f>'[2]7_10'!AF6</f>
        <v>57206.8</v>
      </c>
      <c r="M30" s="123">
        <f>'[2]7_10'!AG6</f>
        <v>69163</v>
      </c>
      <c r="N30" s="123">
        <f>'[2]7_10'!AH6</f>
        <v>78124.2</v>
      </c>
      <c r="O30" s="123">
        <f>'[2]7_10'!AI6</f>
        <v>83093.399999999994</v>
      </c>
      <c r="P30" s="120">
        <f>'[2]7_10'!AJ6</f>
        <v>89901.523433857743</v>
      </c>
      <c r="Q30" s="123">
        <f>'[2]7_10'!AK6</f>
        <v>96942.287111720812</v>
      </c>
      <c r="R30" s="123">
        <f>'[2]7_10'!AL6</f>
        <v>106100.77128414609</v>
      </c>
      <c r="S30" s="123">
        <f>'[2]7_10'!AM6</f>
        <v>116811.34114787738</v>
      </c>
      <c r="T30" s="124">
        <f>'[2]7_10'!AN6</f>
        <v>128573.35292297025</v>
      </c>
      <c r="U30" s="124">
        <f>'[2]7_10'!AO6</f>
        <v>140165.60367535069</v>
      </c>
    </row>
    <row r="31" spans="1:21" customFormat="1" ht="14">
      <c r="A31" s="67"/>
      <c r="B31" s="24" t="s">
        <v>16</v>
      </c>
      <c r="C31" s="154" t="s">
        <v>146</v>
      </c>
      <c r="D31" s="60">
        <v>5.2923622791308134</v>
      </c>
      <c r="E31" s="10">
        <v>3.7450757356048912</v>
      </c>
      <c r="F31" s="10">
        <v>1.6808443209526303</v>
      </c>
      <c r="G31" s="10">
        <v>-3.2911345403907006</v>
      </c>
      <c r="H31" s="60">
        <v>-4.0568380727700912</v>
      </c>
      <c r="I31" s="60">
        <f>'[2]7_10'!AC7</f>
        <v>5.5336275203159602</v>
      </c>
      <c r="J31" s="10">
        <f>'[2]7_10'!AD7</f>
        <v>4.1931341068986541</v>
      </c>
      <c r="K31" s="11">
        <f>'[2]7_10'!AE7</f>
        <v>-4.4255169968892289</v>
      </c>
      <c r="L31" s="10">
        <f>'[2]7_10'!AF7</f>
        <v>-3.8373493050461178</v>
      </c>
      <c r="M31" s="10">
        <f>'[2]7_10'!AG7</f>
        <v>6.1457093428169287</v>
      </c>
      <c r="N31" s="10">
        <f>'[2]7_10'!AH7</f>
        <v>3.8204399496160306</v>
      </c>
      <c r="O31" s="10">
        <f>'[2]7_10'!AI7</f>
        <v>4.0710774295158387</v>
      </c>
      <c r="P31" s="60">
        <f>'[2]7_10'!AJ7</f>
        <v>6.3405958958599626</v>
      </c>
      <c r="Q31" s="10">
        <f>'[2]7_10'!AK7</f>
        <v>4.978357701133703</v>
      </c>
      <c r="R31" s="10">
        <f>'[2]7_10'!AL7</f>
        <v>4.1707865588462028</v>
      </c>
      <c r="S31" s="10">
        <f>'[2]7_10'!AM7</f>
        <v>3.1795251043186283</v>
      </c>
      <c r="T31" s="11">
        <f>'[2]7_10'!AN7</f>
        <v>2.8048378132728828</v>
      </c>
      <c r="U31" s="11">
        <f>'[2]7_10'!AO7</f>
        <v>1.6907042801503422</v>
      </c>
    </row>
    <row r="32" spans="1:21" customFormat="1" ht="14">
      <c r="A32" s="126" t="s">
        <v>25</v>
      </c>
      <c r="B32" s="135" t="s">
        <v>59</v>
      </c>
      <c r="C32" s="175" t="s">
        <v>12</v>
      </c>
      <c r="D32" s="120">
        <v>28021.200000000001</v>
      </c>
      <c r="E32" s="123">
        <v>30799.599999999999</v>
      </c>
      <c r="F32" s="123">
        <v>34963.4</v>
      </c>
      <c r="G32" s="123">
        <v>39775</v>
      </c>
      <c r="H32" s="120">
        <v>44498.400000000001</v>
      </c>
      <c r="I32" s="120">
        <f>'[2]7_10'!AC8</f>
        <v>47557.2</v>
      </c>
      <c r="J32" s="123">
        <f>'[2]7_10'!AD8</f>
        <v>51927.4</v>
      </c>
      <c r="K32" s="124">
        <f>'[2]7_10'!AE8</f>
        <v>49826.400000000001</v>
      </c>
      <c r="L32" s="123">
        <f>'[2]7_10'!AF8</f>
        <v>55379.100000000006</v>
      </c>
      <c r="M32" s="123">
        <f>'[2]7_10'!AG8</f>
        <v>66465.7</v>
      </c>
      <c r="N32" s="123">
        <f>'[2]7_10'!AH8</f>
        <v>76442.899999999994</v>
      </c>
      <c r="O32" s="123">
        <f>'[2]7_10'!AI8</f>
        <v>81090.200000000012</v>
      </c>
      <c r="P32" s="120">
        <f>'[2]7_10'!AJ8</f>
        <v>86280.934943786691</v>
      </c>
      <c r="Q32" s="123">
        <f>'[2]7_10'!AK8</f>
        <v>92937.551932650254</v>
      </c>
      <c r="R32" s="123">
        <f>'[2]7_10'!AL8</f>
        <v>101689.34515062638</v>
      </c>
      <c r="S32" s="123">
        <f>'[2]7_10'!AM8</f>
        <v>112387.62217473636</v>
      </c>
      <c r="T32" s="124">
        <f>'[2]7_10'!AN8</f>
        <v>123906.01402224151</v>
      </c>
      <c r="U32" s="124">
        <f>'[2]7_10'!AO8</f>
        <v>134654.98237326808</v>
      </c>
    </row>
    <row r="33" spans="1:21" customFormat="1" ht="14">
      <c r="A33" s="67"/>
      <c r="B33" s="24" t="s">
        <v>16</v>
      </c>
      <c r="C33" s="154" t="s">
        <v>146</v>
      </c>
      <c r="D33" s="60">
        <v>9.7382305854385436</v>
      </c>
      <c r="E33" s="10">
        <v>8.5087645925795297</v>
      </c>
      <c r="F33" s="10">
        <v>9.1431978479951397</v>
      </c>
      <c r="G33" s="10">
        <v>1.171042579592779</v>
      </c>
      <c r="H33" s="60">
        <v>-0.93986167529808995</v>
      </c>
      <c r="I33" s="60">
        <f>'[2]7_10'!AC9</f>
        <v>4.4711192752760809</v>
      </c>
      <c r="J33" s="10">
        <f>'[2]7_10'!AD9</f>
        <v>6.4223734253885425</v>
      </c>
      <c r="K33" s="11">
        <f>'[2]7_10'!AE9</f>
        <v>-6.6231274875316473</v>
      </c>
      <c r="L33" s="10">
        <f>'[2]7_10'!AF9</f>
        <v>4.1650349469779115</v>
      </c>
      <c r="M33" s="10">
        <f>'[2]7_10'!AG9</f>
        <v>5.3726653444783778</v>
      </c>
      <c r="N33" s="10">
        <f>'[2]7_10'!AH9</f>
        <v>5.7086864087084308</v>
      </c>
      <c r="O33" s="10">
        <f>'[2]7_10'!AI9</f>
        <v>3.7959292430079756</v>
      </c>
      <c r="P33" s="60">
        <f>'[2]7_10'!AJ9</f>
        <v>4.5791334931156484</v>
      </c>
      <c r="Q33" s="10">
        <f>'[2]7_10'!AK9</f>
        <v>4.8648524068398444</v>
      </c>
      <c r="R33" s="10">
        <f>'[2]7_10'!AL9</f>
        <v>4.1417535518620383</v>
      </c>
      <c r="S33" s="10">
        <f>'[2]7_10'!AM9</f>
        <v>3.5786121350744224</v>
      </c>
      <c r="T33" s="11">
        <f>'[2]7_10'!AN9</f>
        <v>2.9725568061935661</v>
      </c>
      <c r="U33" s="11">
        <f>'[2]7_10'!AO9</f>
        <v>1.3726533660982625</v>
      </c>
    </row>
    <row r="34" spans="1:21" customFormat="1" ht="14">
      <c r="A34" s="126" t="s">
        <v>17</v>
      </c>
      <c r="B34" s="135" t="s">
        <v>147</v>
      </c>
      <c r="C34" s="175" t="s">
        <v>4</v>
      </c>
      <c r="D34" s="120">
        <v>425.1</v>
      </c>
      <c r="E34" s="123">
        <v>444.5</v>
      </c>
      <c r="F34" s="123">
        <v>466.9</v>
      </c>
      <c r="G34" s="123">
        <v>499.8</v>
      </c>
      <c r="H34" s="120">
        <v>528.5</v>
      </c>
      <c r="I34" s="120">
        <v>544.6</v>
      </c>
      <c r="J34" s="123">
        <v>634.79999999999995</v>
      </c>
      <c r="K34" s="124">
        <f>'[2]8'!AE7</f>
        <v>707.7</v>
      </c>
      <c r="L34" s="123">
        <f>'[2]8'!AF7</f>
        <v>732.1</v>
      </c>
      <c r="M34" s="123">
        <f>'[2]8'!AG7</f>
        <v>840</v>
      </c>
      <c r="N34" s="123">
        <f>'[2]8'!AH7</f>
        <v>933.9</v>
      </c>
      <c r="O34" s="123">
        <f>'[2]8'!AI7</f>
        <v>1009.2</v>
      </c>
      <c r="P34" s="120">
        <f>'[2]8'!AJ7</f>
        <v>1085.2742718222999</v>
      </c>
      <c r="Q34" s="123">
        <f>'[2]8'!AK7</f>
        <v>1153.4176664204265</v>
      </c>
      <c r="R34" s="123">
        <f>'[2]8'!AL7</f>
        <v>1237.9278789428677</v>
      </c>
      <c r="S34" s="123">
        <f>'[2]8'!AM7</f>
        <v>1327.6107954764855</v>
      </c>
      <c r="T34" s="124">
        <f>'[2]8'!AN7</f>
        <v>1428.4611160192078</v>
      </c>
      <c r="U34" s="124">
        <f>'[2]8'!AO7</f>
        <v>1522.546776366572</v>
      </c>
    </row>
    <row r="35" spans="1:21" customFormat="1" ht="14">
      <c r="A35" s="67"/>
      <c r="B35" s="24" t="s">
        <v>16</v>
      </c>
      <c r="C35" s="154" t="s">
        <v>148</v>
      </c>
      <c r="D35" s="60">
        <v>3.0087262213306332</v>
      </c>
      <c r="E35" s="10">
        <v>3.1304016751602717</v>
      </c>
      <c r="F35" s="10">
        <v>0.99042512374296621</v>
      </c>
      <c r="G35" s="10">
        <v>-4.8010685325753144</v>
      </c>
      <c r="H35" s="60">
        <v>-6.3703364826836975</v>
      </c>
      <c r="I35" s="60">
        <v>0.76573292999626119</v>
      </c>
      <c r="J35" s="10">
        <v>13.608786318839066</v>
      </c>
      <c r="K35" s="11">
        <f>'[2]8'!AE8</f>
        <v>8.4384933159788744</v>
      </c>
      <c r="L35" s="10">
        <f>'[2]8'!AF8</f>
        <v>-3.0479956785441829</v>
      </c>
      <c r="M35" s="10">
        <f>'[2]8'!AG8</f>
        <v>0.73610510325509892</v>
      </c>
      <c r="N35" s="10">
        <f>'[2]8'!AH8</f>
        <v>2.1861869747898908</v>
      </c>
      <c r="O35" s="10">
        <f>'[2]8'!AI8</f>
        <v>5.7367532027486732</v>
      </c>
      <c r="P35" s="60">
        <f>'[2]8'!AJ8</f>
        <v>5.6965553291575084</v>
      </c>
      <c r="Q35" s="10">
        <f>'[2]8'!AK8</f>
        <v>3.4667137342736454</v>
      </c>
      <c r="R35" s="10">
        <f>'[2]8'!AL8</f>
        <v>2.1525961945870318</v>
      </c>
      <c r="S35" s="10">
        <f>'[2]8'!AM8</f>
        <v>0.50842950025208999</v>
      </c>
      <c r="T35" s="11">
        <f>'[2]8'!AN8</f>
        <v>0.49518192795601024</v>
      </c>
      <c r="U35" s="11">
        <f>'[2]8'!AO8</f>
        <v>-0.57559653024929081</v>
      </c>
    </row>
    <row r="36" spans="1:21" customFormat="1" ht="14" hidden="1">
      <c r="A36" s="122" t="s">
        <v>18</v>
      </c>
      <c r="B36" s="108" t="s">
        <v>151</v>
      </c>
      <c r="C36" s="152"/>
      <c r="D36" s="118"/>
      <c r="E36" s="119"/>
      <c r="F36" s="119"/>
      <c r="G36" s="119"/>
      <c r="H36" s="120"/>
      <c r="I36" s="118"/>
      <c r="J36" s="119"/>
      <c r="K36" s="121"/>
      <c r="L36" s="119"/>
      <c r="M36" s="119"/>
      <c r="N36" s="119"/>
      <c r="O36" s="119"/>
      <c r="P36" s="118"/>
      <c r="Q36" s="123"/>
      <c r="R36" s="123"/>
      <c r="S36" s="123"/>
      <c r="T36" s="124"/>
      <c r="U36" s="124"/>
    </row>
    <row r="37" spans="1:21" customFormat="1" ht="14" hidden="1">
      <c r="A37" s="66"/>
      <c r="B37" s="3" t="s">
        <v>152</v>
      </c>
      <c r="C37" s="153" t="s">
        <v>4</v>
      </c>
      <c r="D37" s="59">
        <v>1554.7</v>
      </c>
      <c r="E37" s="5">
        <v>1758.5</v>
      </c>
      <c r="F37" s="5">
        <v>2197.1999999999998</v>
      </c>
      <c r="G37" s="5">
        <v>2802.4</v>
      </c>
      <c r="H37" s="59">
        <v>3082.6</v>
      </c>
      <c r="I37" s="59">
        <v>3007.6</v>
      </c>
      <c r="J37" s="5">
        <v>3108.4</v>
      </c>
      <c r="K37" s="6">
        <f>'[2]8'!AE58</f>
        <v>3348.6</v>
      </c>
      <c r="L37" s="5">
        <f>'[2]8'!AF58</f>
        <v>3166.6</v>
      </c>
      <c r="M37" s="5">
        <f>'[2]8'!AG58</f>
        <v>3367.9</v>
      </c>
      <c r="N37" s="5">
        <f>'[2]8'!AH58</f>
        <v>3506.3</v>
      </c>
      <c r="O37" s="5">
        <f>'[2]8'!AI58</f>
        <v>3729.4</v>
      </c>
      <c r="P37" s="59">
        <f>'[2]8'!AJ58</f>
        <v>3729.4</v>
      </c>
      <c r="Q37" s="5">
        <f>'[2]8'!AK58</f>
        <v>3749.2336358528546</v>
      </c>
      <c r="R37" s="5">
        <f>'[2]8'!AL58</f>
        <v>3766.1023548246535</v>
      </c>
      <c r="S37" s="5">
        <f>'[2]8'!AM58</f>
        <v>3799.8834578998553</v>
      </c>
      <c r="T37" s="6">
        <f>'[2]8'!AN58</f>
        <v>3823.2170488124671</v>
      </c>
      <c r="U37" s="6">
        <f>'[2]8'!AO58</f>
        <v>3861.8772140571987</v>
      </c>
    </row>
    <row r="38" spans="1:21" customFormat="1" ht="14" hidden="1">
      <c r="A38" s="68"/>
      <c r="B38" s="17" t="s">
        <v>16</v>
      </c>
      <c r="C38" s="163" t="s">
        <v>6</v>
      </c>
      <c r="D38" s="40">
        <v>4.9279864072498469</v>
      </c>
      <c r="E38" s="18">
        <v>11.558283414190342</v>
      </c>
      <c r="F38" s="18">
        <v>20.131060078717184</v>
      </c>
      <c r="G38" s="18">
        <v>13.427988345018306</v>
      </c>
      <c r="H38" s="40">
        <v>-2.6016112293747398</v>
      </c>
      <c r="I38" s="40">
        <v>-4.5923662486055008</v>
      </c>
      <c r="J38" s="18">
        <v>0.73246540861914866</v>
      </c>
      <c r="K38" s="19">
        <f>'[2]8'!AE59</f>
        <v>4.5851664081783667</v>
      </c>
      <c r="L38" s="18">
        <f>'[2]8'!AF59</f>
        <v>-11.373108911886462</v>
      </c>
      <c r="M38" s="18">
        <f>'[2]8'!AG59</f>
        <v>-6.6224969830241349</v>
      </c>
      <c r="N38" s="18">
        <f>'[2]8'!AH59</f>
        <v>-4.3112264057022713</v>
      </c>
      <c r="O38" s="18">
        <f>'[2]8'!AI59</f>
        <v>4.0732217373558228</v>
      </c>
      <c r="P38" s="40">
        <f>'[2]8'!AJ59</f>
        <v>-1.7124367473704609</v>
      </c>
      <c r="Q38" s="18">
        <f>'[2]8'!AK59</f>
        <v>-2.1283067500729373</v>
      </c>
      <c r="R38" s="18">
        <f>'[2]8'!AL59</f>
        <v>-4.3928706476097545</v>
      </c>
      <c r="S38" s="18">
        <f>'[2]8'!AM59</f>
        <v>-5.4404899357615619</v>
      </c>
      <c r="T38" s="19">
        <f>'[2]8'!AN59</f>
        <v>-6.0263122196466696</v>
      </c>
      <c r="U38" s="19">
        <f>'[2]8'!AO59</f>
        <v>-5.7762726567656699</v>
      </c>
    </row>
    <row r="39" spans="1:21" customFormat="1" ht="14" hidden="1">
      <c r="A39" s="66"/>
      <c r="B39" s="3" t="s">
        <v>153</v>
      </c>
      <c r="C39" s="153" t="s">
        <v>4</v>
      </c>
      <c r="D39" s="59">
        <v>395.5</v>
      </c>
      <c r="E39" s="5">
        <v>411.2</v>
      </c>
      <c r="F39" s="5">
        <v>425</v>
      </c>
      <c r="G39" s="5">
        <v>444.8</v>
      </c>
      <c r="H39" s="59">
        <v>468.8</v>
      </c>
      <c r="I39" s="59">
        <v>488.4</v>
      </c>
      <c r="J39" s="5">
        <v>579.1</v>
      </c>
      <c r="K39" s="19">
        <f>'[2]8'!AE60</f>
        <v>651.1</v>
      </c>
      <c r="L39" s="5">
        <f>'[2]8'!AF60</f>
        <v>683.6</v>
      </c>
      <c r="M39" s="5">
        <f>'[2]8'!AG60</f>
        <v>790.4</v>
      </c>
      <c r="N39" s="5">
        <f>'[2]8'!AH60</f>
        <v>885</v>
      </c>
      <c r="O39" s="5">
        <f>'[2]8'!AI60</f>
        <v>959.6</v>
      </c>
      <c r="P39" s="59">
        <f>'[2]8'!AJ60</f>
        <v>1039.4665939069371</v>
      </c>
      <c r="Q39" s="5">
        <f>'[2]8'!AK60</f>
        <v>1109.5228253131008</v>
      </c>
      <c r="R39" s="5">
        <f>'[2]8'!AL60</f>
        <v>1196.264571097036</v>
      </c>
      <c r="S39" s="5">
        <f>'[2]8'!AM60</f>
        <v>1287.9749699207885</v>
      </c>
      <c r="T39" s="6">
        <f>'[2]8'!AN60</f>
        <v>1390.9539162243329</v>
      </c>
      <c r="U39" s="6">
        <f>'[2]8'!AO60</f>
        <v>1486.8573952721274</v>
      </c>
    </row>
    <row r="40" spans="1:21" customFormat="1" ht="14" hidden="1">
      <c r="A40" s="68"/>
      <c r="B40" s="17" t="s">
        <v>16</v>
      </c>
      <c r="C40" s="163" t="s">
        <v>6</v>
      </c>
      <c r="D40" s="40">
        <v>3.1643495632932996</v>
      </c>
      <c r="E40" s="18">
        <v>2.5445697099563063</v>
      </c>
      <c r="F40" s="18">
        <v>-0.62802628256589799</v>
      </c>
      <c r="G40" s="18">
        <v>-6.9244643069833529</v>
      </c>
      <c r="H40" s="40">
        <v>-6.457939799606347</v>
      </c>
      <c r="I40" s="40">
        <v>0.88785176968605528</v>
      </c>
      <c r="J40" s="18">
        <v>13.898980832927712</v>
      </c>
      <c r="K40" s="19">
        <f>'[2]8'!AE61</f>
        <v>9.3945116788806189</v>
      </c>
      <c r="L40" s="18">
        <f>'[2]8'!AF61</f>
        <v>-1.6011689251424741</v>
      </c>
      <c r="M40" s="18">
        <f>'[2]8'!AG61</f>
        <v>1.5128809879628022</v>
      </c>
      <c r="N40" s="18">
        <f>'[2]8'!AH61</f>
        <v>2.9123377589902191</v>
      </c>
      <c r="O40" s="18">
        <f>'[2]8'!AI61</f>
        <v>6.0952823200327089</v>
      </c>
      <c r="P40" s="40">
        <f>'[2]8'!AJ61</f>
        <v>5.8314416565369029</v>
      </c>
      <c r="Q40" s="18">
        <f>'[2]8'!AK61</f>
        <v>3.5657440775536853</v>
      </c>
      <c r="R40" s="18">
        <f>'[2]8'!AL61</f>
        <v>2.2657239595295731</v>
      </c>
      <c r="S40" s="18">
        <f>'[2]8'!AM61</f>
        <v>0.60871331505766202</v>
      </c>
      <c r="T40" s="19">
        <f>'[2]8'!AN61</f>
        <v>0.60219247201276938</v>
      </c>
      <c r="U40" s="19">
        <f>'[2]8'!AO61</f>
        <v>-0.49215162008501573</v>
      </c>
    </row>
    <row r="41" spans="1:21" customFormat="1" ht="28">
      <c r="A41" s="122" t="s">
        <v>26</v>
      </c>
      <c r="B41" s="189" t="s">
        <v>409</v>
      </c>
      <c r="C41" s="152" t="s">
        <v>12</v>
      </c>
      <c r="D41" s="118">
        <f>'[2]7_10'!X11</f>
        <v>6527.3</v>
      </c>
      <c r="E41" s="119">
        <f>'[2]7_10'!Y11</f>
        <v>7016.4</v>
      </c>
      <c r="F41" s="119">
        <f>'[2]7_10'!Z11</f>
        <v>7462.8</v>
      </c>
      <c r="G41" s="119">
        <f>'[2]7_10'!AA11</f>
        <v>7809.8</v>
      </c>
      <c r="H41" s="118">
        <f>'[2]7_10'!AB11</f>
        <v>8636</v>
      </c>
      <c r="I41" s="118">
        <f>'[2]7_10'!AC11</f>
        <v>9131.7999999999993</v>
      </c>
      <c r="J41" s="119">
        <f>'[2]7_10'!AD11</f>
        <v>9607.2587000000003</v>
      </c>
      <c r="K41" s="121">
        <f>'[2]7_10'!AE11</f>
        <v>6998.4</v>
      </c>
      <c r="L41" s="119">
        <f>'[2]7_10'!AF11</f>
        <v>7758.2</v>
      </c>
      <c r="M41" s="119">
        <f>'[2]7_10'!AG11</f>
        <v>9253.4</v>
      </c>
      <c r="N41" s="119">
        <f>'[2]7_10'!AH11</f>
        <v>11411.6</v>
      </c>
      <c r="O41" s="119">
        <f>'[2]7_10'!AI11</f>
        <v>12885.5</v>
      </c>
      <c r="P41" s="118">
        <f>'[2]7_10'!AJ11</f>
        <v>14093.913213608232</v>
      </c>
      <c r="Q41" s="119">
        <f>'[2]7_10'!AK11</f>
        <v>15090.253474481538</v>
      </c>
      <c r="R41" s="119">
        <f>'[2]7_10'!AL11</f>
        <v>16501.331574315333</v>
      </c>
      <c r="S41" s="119">
        <f>'[2]7_10'!AM11</f>
        <v>18192.053569876614</v>
      </c>
      <c r="T41" s="121">
        <f>'[2]7_10'!AN11</f>
        <v>20149.595700367983</v>
      </c>
      <c r="U41" s="121">
        <f>'[2]7_10'!AO11</f>
        <v>22229.865018928369</v>
      </c>
    </row>
    <row r="42" spans="1:21" customFormat="1" ht="14">
      <c r="A42" s="68"/>
      <c r="B42" s="88" t="s">
        <v>16</v>
      </c>
      <c r="C42" s="154" t="s">
        <v>146</v>
      </c>
      <c r="D42" s="40">
        <f>'[2]7_10'!X12</f>
        <v>8.1999999999999993</v>
      </c>
      <c r="E42" s="18">
        <f>'[2]7_10'!Y12</f>
        <v>7.2</v>
      </c>
      <c r="F42" s="18">
        <f>'[2]7_10'!Z12</f>
        <v>5.0999999999999996</v>
      </c>
      <c r="G42" s="18">
        <f>'[2]7_10'!AA12</f>
        <v>-1.1000000000000001</v>
      </c>
      <c r="H42" s="40">
        <f>'[2]7_10'!AB12</f>
        <v>1.2</v>
      </c>
      <c r="I42" s="40">
        <f>'[2]7_10'!AC12</f>
        <v>3</v>
      </c>
      <c r="J42" s="18">
        <f>'[2]7_10'!AD12</f>
        <v>3.1</v>
      </c>
      <c r="K42" s="19">
        <f>'[2]7_10'!AE12</f>
        <v>-27.9</v>
      </c>
      <c r="L42" s="18">
        <f>'[2]7_10'!AF12</f>
        <v>4.8</v>
      </c>
      <c r="M42" s="18">
        <f>'[2]7_10'!AG12</f>
        <v>8</v>
      </c>
      <c r="N42" s="18">
        <f>'[2]7_10'!AH12</f>
        <v>14</v>
      </c>
      <c r="O42" s="18">
        <f>'[2]7_10'!AI12</f>
        <v>8.6</v>
      </c>
      <c r="P42" s="40">
        <f>'[2]7_10'!AJ12</f>
        <v>6.7287867042705471</v>
      </c>
      <c r="Q42" s="18">
        <f>'[2]7_10'!AK12</f>
        <v>6.0533335283424918</v>
      </c>
      <c r="R42" s="18">
        <f>'[2]7_10'!AL12</f>
        <v>5.4845892063429318</v>
      </c>
      <c r="S42" s="18">
        <f>'[2]7_10'!AM12</f>
        <v>4.4667724888259812</v>
      </c>
      <c r="T42" s="19">
        <f>'[2]7_10'!AN12</f>
        <v>4.5242912486465485</v>
      </c>
      <c r="U42" s="19">
        <f>'[2]7_10'!AO12</f>
        <v>3.3931008231260762</v>
      </c>
    </row>
    <row r="43" spans="1:21" customFormat="1" ht="14">
      <c r="A43" s="122" t="s">
        <v>27</v>
      </c>
      <c r="B43" s="125" t="s">
        <v>154</v>
      </c>
      <c r="C43" s="152" t="s">
        <v>30</v>
      </c>
      <c r="D43" s="118">
        <v>4521.2</v>
      </c>
      <c r="E43" s="119">
        <v>4602.8999999999996</v>
      </c>
      <c r="F43" s="119">
        <v>4671.6000000000004</v>
      </c>
      <c r="G43" s="119">
        <v>4759.8999999999996</v>
      </c>
      <c r="H43" s="118">
        <v>4822.1000000000004</v>
      </c>
      <c r="I43" s="118">
        <v>4879.3</v>
      </c>
      <c r="J43" s="119">
        <v>4938.5</v>
      </c>
      <c r="K43" s="121">
        <f>'[2]9'!AE7</f>
        <v>4721.2</v>
      </c>
      <c r="L43" s="119">
        <f>'[2]9'!AF7</f>
        <v>4831.1000000000004</v>
      </c>
      <c r="M43" s="119">
        <f>'[2]9'!AG7</f>
        <v>4901.1000000000004</v>
      </c>
      <c r="N43" s="119">
        <f>'[2]9'!AH7</f>
        <v>4963.3</v>
      </c>
      <c r="O43" s="119">
        <f>'[2]9'!AI7</f>
        <v>5029.8</v>
      </c>
      <c r="P43" s="118">
        <f>'[2]9'!AJ7</f>
        <v>5085.332579548477</v>
      </c>
      <c r="Q43" s="119">
        <f>'[2]9'!AK7</f>
        <v>5136.2449632040752</v>
      </c>
      <c r="R43" s="119">
        <f>'[2]9'!AL7</f>
        <v>5187.5628348172841</v>
      </c>
      <c r="S43" s="119">
        <f>'[2]9'!AM7</f>
        <v>5239.3161303926736</v>
      </c>
      <c r="T43" s="121">
        <f>'[2]9'!AN7</f>
        <v>5296.9901143153911</v>
      </c>
      <c r="U43" s="121">
        <f>'[2]9'!AO7</f>
        <v>5332.3364377225043</v>
      </c>
    </row>
    <row r="44" spans="1:21" customFormat="1" ht="14">
      <c r="A44" s="67"/>
      <c r="B44" s="24" t="s">
        <v>155</v>
      </c>
      <c r="C44" s="154" t="s">
        <v>6</v>
      </c>
      <c r="D44" s="60">
        <v>1.7074213213956284</v>
      </c>
      <c r="E44" s="10">
        <v>1.8070423781296938</v>
      </c>
      <c r="F44" s="10">
        <v>1.4925373134328623</v>
      </c>
      <c r="G44" s="10">
        <v>1.890144704169856</v>
      </c>
      <c r="H44" s="60">
        <v>1.3067501418097152</v>
      </c>
      <c r="I44" s="60">
        <v>1.1862051803156248</v>
      </c>
      <c r="J44" s="10">
        <v>1.2132887914249864</v>
      </c>
      <c r="K44" s="11">
        <f>'[2]9'!AE8</f>
        <v>-1.3457037780006829</v>
      </c>
      <c r="L44" s="10">
        <f>'[2]9'!AF8</f>
        <v>2.3277980174532047</v>
      </c>
      <c r="M44" s="10">
        <f>'[2]9'!AG8</f>
        <v>1.4489453747593757</v>
      </c>
      <c r="N44" s="10">
        <f>'[2]9'!AH8</f>
        <v>1.2691028544612522</v>
      </c>
      <c r="O44" s="10">
        <f>'[2]9'!AI8</f>
        <v>1.339834384381362</v>
      </c>
      <c r="P44" s="60">
        <f>'[2]9'!AJ8</f>
        <v>1.1040713258673662</v>
      </c>
      <c r="Q44" s="10">
        <f>'[2]9'!AK8</f>
        <v>1.0011613372221007</v>
      </c>
      <c r="R44" s="10">
        <f>'[2]9'!AL8</f>
        <v>0.99913208931521069</v>
      </c>
      <c r="S44" s="10">
        <f>'[2]9'!AM8</f>
        <v>0.99764180643823863</v>
      </c>
      <c r="T44" s="11">
        <f>'[2]9'!AN8</f>
        <v>1.1007922119483595</v>
      </c>
      <c r="U44" s="11">
        <f>'[2]9'!AO8</f>
        <v>0.66729071877232116</v>
      </c>
    </row>
    <row r="45" spans="1:21" customFormat="1" ht="14" hidden="1">
      <c r="A45" s="122" t="s">
        <v>408</v>
      </c>
      <c r="B45" s="108" t="s">
        <v>151</v>
      </c>
      <c r="C45" s="152"/>
      <c r="D45" s="118"/>
      <c r="E45" s="119"/>
      <c r="F45" s="119"/>
      <c r="G45" s="119"/>
      <c r="H45" s="118"/>
      <c r="I45" s="118"/>
      <c r="J45" s="119"/>
      <c r="K45" s="121"/>
      <c r="L45" s="119"/>
      <c r="M45" s="119"/>
      <c r="N45" s="119"/>
      <c r="O45" s="119"/>
      <c r="P45" s="119"/>
      <c r="Q45" s="119"/>
      <c r="R45" s="119"/>
      <c r="S45" s="119"/>
      <c r="T45" s="121"/>
      <c r="U45" s="123"/>
    </row>
    <row r="46" spans="1:21" customFormat="1" ht="14" hidden="1">
      <c r="A46" s="66"/>
      <c r="B46" s="3" t="s">
        <v>156</v>
      </c>
      <c r="C46" s="153" t="s">
        <v>30</v>
      </c>
      <c r="D46" s="59">
        <v>613.9</v>
      </c>
      <c r="E46" s="5">
        <v>626.11661601803758</v>
      </c>
      <c r="F46" s="5">
        <v>641.10152926183707</v>
      </c>
      <c r="G46" s="5">
        <v>34.4</v>
      </c>
      <c r="H46" s="59">
        <v>33.9</v>
      </c>
      <c r="I46" s="59">
        <v>34.200000000000003</v>
      </c>
      <c r="J46" s="5">
        <v>34.799999999999997</v>
      </c>
      <c r="K46" s="6">
        <f>'[2]9'!AE58</f>
        <v>33.799999999999997</v>
      </c>
      <c r="L46" s="5">
        <f>'[2]9'!AF58</f>
        <v>31.6</v>
      </c>
      <c r="M46" s="5">
        <f>'[2]9'!AG58</f>
        <v>31.7</v>
      </c>
      <c r="N46" s="5">
        <f>'[2]9'!AH58</f>
        <v>31.4</v>
      </c>
      <c r="O46" s="5">
        <f>'[2]9'!AI58</f>
        <v>31.8</v>
      </c>
      <c r="P46" s="5">
        <f>'[2]9'!AJ58</f>
        <v>31.924760305851844</v>
      </c>
      <c r="Q46" s="5">
        <f>'[2]9'!AK58</f>
        <v>32.030734366549993</v>
      </c>
      <c r="R46" s="5">
        <f>'[2]9'!AL58</f>
        <v>32.242584148369559</v>
      </c>
      <c r="S46" s="5">
        <f>'[2]9'!AM58</f>
        <v>32.388627074478983</v>
      </c>
      <c r="T46" s="6">
        <f>'[2]9'!AN58</f>
        <v>32.630085419480729</v>
      </c>
      <c r="U46" s="5"/>
    </row>
    <row r="47" spans="1:21" customFormat="1" ht="14" hidden="1">
      <c r="A47" s="68"/>
      <c r="B47" s="17" t="s">
        <v>155</v>
      </c>
      <c r="C47" s="163" t="s">
        <v>6</v>
      </c>
      <c r="D47" s="40">
        <v>0.5075311067452617</v>
      </c>
      <c r="E47" s="18">
        <v>0.3</v>
      </c>
      <c r="F47" s="18">
        <v>2.3933102652825511</v>
      </c>
      <c r="G47" s="18">
        <v>0</v>
      </c>
      <c r="H47" s="40">
        <v>-1.4534883720930196</v>
      </c>
      <c r="I47" s="40">
        <v>0.88495575221242007</v>
      </c>
      <c r="J47" s="18">
        <v>1.7543859649122595</v>
      </c>
      <c r="K47" s="19">
        <f>'[2]9'!AE59</f>
        <v>-2.5936599423631179</v>
      </c>
      <c r="L47" s="18">
        <f>'[2]9'!AF59</f>
        <v>-6.5088757396449637</v>
      </c>
      <c r="M47" s="18">
        <f>'[2]9'!AG59</f>
        <v>0.31645569620253866</v>
      </c>
      <c r="N47" s="18">
        <f>'[2]9'!AH59</f>
        <v>-0.94637223974764595</v>
      </c>
      <c r="O47" s="18">
        <f>'[2]9'!AI59</f>
        <v>1.2738853503184657</v>
      </c>
      <c r="P47" s="18">
        <f>'[2]9'!AJ59</f>
        <v>0.39232800582340133</v>
      </c>
      <c r="Q47" s="18">
        <f>'[2]9'!AK59</f>
        <v>0.33194943261240439</v>
      </c>
      <c r="R47" s="18">
        <f>'[2]9'!AL59</f>
        <v>0.66139533173115694</v>
      </c>
      <c r="S47" s="18">
        <f>'[2]9'!AM59</f>
        <v>0.45295043795925949</v>
      </c>
      <c r="T47" s="19">
        <f>'[2]9'!AN59</f>
        <v>0.74550348937762578</v>
      </c>
      <c r="U47" s="18"/>
    </row>
    <row r="48" spans="1:21" customFormat="1" ht="14" hidden="1">
      <c r="A48" s="66"/>
      <c r="B48" s="3" t="s">
        <v>153</v>
      </c>
      <c r="C48" s="153" t="s">
        <v>30</v>
      </c>
      <c r="D48" s="59">
        <v>3907.2999999999997</v>
      </c>
      <c r="E48" s="5">
        <v>3976.7833839819623</v>
      </c>
      <c r="F48" s="5">
        <v>4030.4984707381632</v>
      </c>
      <c r="G48" s="5">
        <v>4725.5</v>
      </c>
      <c r="H48" s="59">
        <v>4788.2000000000007</v>
      </c>
      <c r="I48" s="59">
        <v>4845.1000000000004</v>
      </c>
      <c r="J48" s="5">
        <v>4903.7</v>
      </c>
      <c r="K48" s="6">
        <f>'[2]9'!AE60</f>
        <v>4687.3999999999996</v>
      </c>
      <c r="L48" s="5">
        <f>'[2]9'!AF60</f>
        <v>4799.5</v>
      </c>
      <c r="M48" s="5">
        <f>'[2]9'!AG60</f>
        <v>4869.4000000000005</v>
      </c>
      <c r="N48" s="5">
        <f>'[2]9'!AH60</f>
        <v>4931.9000000000005</v>
      </c>
      <c r="O48" s="5">
        <f>'[2]9'!AI60</f>
        <v>4998</v>
      </c>
      <c r="P48" s="5">
        <f>'[2]9'!AJ60</f>
        <v>5053.407819242625</v>
      </c>
      <c r="Q48" s="5">
        <f>'[2]9'!AK60</f>
        <v>5104.2142288375253</v>
      </c>
      <c r="R48" s="5">
        <f>'[2]9'!AL60</f>
        <v>5155.3202506689149</v>
      </c>
      <c r="S48" s="5">
        <f>'[2]9'!AM60</f>
        <v>5206.9275033181948</v>
      </c>
      <c r="T48" s="6">
        <f>'[2]9'!AN60</f>
        <v>5264.3600288959105</v>
      </c>
      <c r="U48" s="5"/>
    </row>
    <row r="49" spans="1:21" customFormat="1" ht="14" hidden="1">
      <c r="A49" s="92"/>
      <c r="B49" s="35" t="s">
        <v>155</v>
      </c>
      <c r="C49" s="172" t="s">
        <v>6</v>
      </c>
      <c r="D49" s="73">
        <v>1.8985526144216891</v>
      </c>
      <c r="E49" s="36">
        <v>1.7782966238057583</v>
      </c>
      <c r="F49" s="36">
        <v>1.3507169380298336</v>
      </c>
      <c r="G49" s="36">
        <v>1.9041663072543571</v>
      </c>
      <c r="H49" s="73">
        <v>1.3268437202412571</v>
      </c>
      <c r="I49" s="73">
        <v>1.1883379975773636</v>
      </c>
      <c r="J49" s="36">
        <v>1.2094693607974847</v>
      </c>
      <c r="K49" s="37">
        <f>'[2]9'!AE61</f>
        <v>-1.336588856848195</v>
      </c>
      <c r="L49" s="36">
        <f>'[2]9'!AF61</f>
        <v>2.3915176857106388</v>
      </c>
      <c r="M49" s="36">
        <f>'[2]9'!AG61</f>
        <v>1.4564017085113079</v>
      </c>
      <c r="N49" s="36">
        <f>'[2]9'!AH61</f>
        <v>1.2835256910502295</v>
      </c>
      <c r="O49" s="36">
        <f>'[2]9'!AI61</f>
        <v>1.3402542630629029</v>
      </c>
      <c r="P49" s="10">
        <f>'[2]9'!AJ61</f>
        <v>1.1085998247824165</v>
      </c>
      <c r="Q49" s="10">
        <f>'[2]9'!AK61</f>
        <v>1.0053890644138477</v>
      </c>
      <c r="R49" s="10">
        <f>'[2]9'!AL61</f>
        <v>1.0012515059155191</v>
      </c>
      <c r="S49" s="10">
        <f>'[2]9'!AM61</f>
        <v>1.0010484342380721</v>
      </c>
      <c r="T49" s="11">
        <f>'[2]9'!AN61</f>
        <v>1.1030022127466879</v>
      </c>
      <c r="U49" s="5"/>
    </row>
    <row r="50" spans="1:21" customFormat="1">
      <c r="A50" s="23"/>
      <c r="B50" s="4"/>
      <c r="C50" s="162"/>
      <c r="D50" s="5"/>
      <c r="E50" s="5"/>
      <c r="F50" s="5"/>
      <c r="G50" s="5"/>
      <c r="H50" s="59"/>
      <c r="I50" s="59"/>
      <c r="J50" s="5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customFormat="1" ht="21.75" customHeight="1">
      <c r="A51" s="242" t="s">
        <v>378</v>
      </c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34"/>
    </row>
    <row r="52" spans="1:21" customFormat="1">
      <c r="A52" s="245" t="s">
        <v>0</v>
      </c>
      <c r="B52" s="248" t="s">
        <v>1</v>
      </c>
      <c r="C52" s="248" t="s">
        <v>2</v>
      </c>
      <c r="D52" s="250" t="s">
        <v>13</v>
      </c>
      <c r="E52" s="251"/>
      <c r="F52" s="251"/>
      <c r="G52" s="251"/>
      <c r="H52" s="251"/>
      <c r="I52" s="251"/>
      <c r="J52" s="251"/>
      <c r="K52" s="252"/>
      <c r="L52" s="235"/>
      <c r="M52" s="236"/>
      <c r="N52" s="236"/>
      <c r="O52" s="236"/>
      <c r="P52" s="239" t="s">
        <v>3</v>
      </c>
      <c r="Q52" s="240"/>
      <c r="R52" s="240"/>
      <c r="S52" s="240"/>
      <c r="T52" s="241"/>
      <c r="U52" s="238"/>
    </row>
    <row r="53" spans="1:21" customFormat="1">
      <c r="A53" s="246"/>
      <c r="B53" s="249"/>
      <c r="C53" s="249"/>
      <c r="D53" s="105">
        <f>D3</f>
        <v>2013</v>
      </c>
      <c r="E53" s="105">
        <f>E3</f>
        <v>2014</v>
      </c>
      <c r="F53" s="105">
        <f>F3</f>
        <v>2015</v>
      </c>
      <c r="G53" s="105">
        <f>G3</f>
        <v>2016</v>
      </c>
      <c r="H53" s="105">
        <f>H3</f>
        <v>2017</v>
      </c>
      <c r="I53" s="105">
        <v>2018</v>
      </c>
      <c r="J53" s="106">
        <v>2019</v>
      </c>
      <c r="K53" s="218">
        <v>2020</v>
      </c>
      <c r="L53" s="220">
        <v>2021</v>
      </c>
      <c r="M53" s="221">
        <v>2022</v>
      </c>
      <c r="N53" s="221">
        <v>2023</v>
      </c>
      <c r="O53" s="221">
        <v>2024</v>
      </c>
      <c r="P53" s="220">
        <v>2025</v>
      </c>
      <c r="Q53" s="221">
        <v>2026</v>
      </c>
      <c r="R53" s="221">
        <v>2027</v>
      </c>
      <c r="S53" s="221">
        <v>2028</v>
      </c>
      <c r="T53" s="218">
        <v>2029</v>
      </c>
      <c r="U53" s="218">
        <v>2030</v>
      </c>
    </row>
    <row r="54" spans="1:21" customFormat="1" ht="14">
      <c r="A54" s="96" t="s">
        <v>24</v>
      </c>
      <c r="B54" s="91" t="s">
        <v>8</v>
      </c>
      <c r="C54" s="177" t="s">
        <v>157</v>
      </c>
      <c r="D54" s="97">
        <v>3.5852118000661903</v>
      </c>
      <c r="E54" s="97">
        <v>1.3897263931173001</v>
      </c>
      <c r="F54" s="97">
        <v>4.009236469730709</v>
      </c>
      <c r="G54" s="97">
        <v>12.445040203259566</v>
      </c>
      <c r="H54" s="94">
        <v>12.936747763929574</v>
      </c>
      <c r="I54" s="94">
        <f>'[7]11_12'!AC6</f>
        <v>2.2999999999999972</v>
      </c>
      <c r="J54" s="97">
        <f>'[7]11_12'!AD6</f>
        <v>2.5999999999999943</v>
      </c>
      <c r="K54" s="95">
        <f>'[7]11_12'!AE6</f>
        <v>2.7598846669118871</v>
      </c>
      <c r="L54" s="5">
        <f>'[7]11_12'!AF6</f>
        <v>6.7000000000000028</v>
      </c>
      <c r="M54" s="5">
        <f>'[7]11_12'!AG6</f>
        <v>13.9</v>
      </c>
      <c r="N54" s="5">
        <f>'[7]11_12'!AH6</f>
        <v>8.8000000000000007</v>
      </c>
      <c r="O54" s="5">
        <f>'[7]11_12'!AI6</f>
        <v>2.2000000000000002</v>
      </c>
      <c r="P54" s="59">
        <f>'[7]11_12'!AJ6</f>
        <v>1.7422720542668912</v>
      </c>
      <c r="Q54" s="5">
        <f>'[7]11_12'!AK6</f>
        <v>2.7179719422707933</v>
      </c>
      <c r="R54" s="5">
        <f>'[7]11_12'!AL6</f>
        <v>5.0653075085369039</v>
      </c>
      <c r="S54" s="5">
        <f>'[7]11_12'!AM6</f>
        <v>6.7020945420822642</v>
      </c>
      <c r="T54" s="6">
        <f>'[7]11_12'!AN6</f>
        <v>7.0662044612957544</v>
      </c>
      <c r="U54" s="6">
        <f>'[7]11_12'!AO6</f>
        <v>7.2035648256658931</v>
      </c>
    </row>
    <row r="55" spans="1:21" customFormat="1" ht="14">
      <c r="A55" s="66" t="s">
        <v>25</v>
      </c>
      <c r="B55" s="4" t="s">
        <v>20</v>
      </c>
      <c r="C55" s="153" t="s">
        <v>4</v>
      </c>
      <c r="D55" s="5"/>
      <c r="E55" s="5"/>
      <c r="F55" s="5"/>
      <c r="G55" s="5">
        <v>148.5</v>
      </c>
      <c r="H55" s="59">
        <v>163.4</v>
      </c>
      <c r="I55" s="59">
        <v>175.2</v>
      </c>
      <c r="J55" s="5">
        <v>185.5</v>
      </c>
      <c r="K55" s="6">
        <v>195</v>
      </c>
      <c r="L55" s="5">
        <v>205</v>
      </c>
      <c r="M55" s="78">
        <v>230</v>
      </c>
      <c r="N55" s="78">
        <v>246</v>
      </c>
      <c r="O55" s="78"/>
      <c r="P55" s="150"/>
      <c r="Q55" s="78"/>
      <c r="R55" s="78"/>
      <c r="S55" s="78"/>
      <c r="T55" s="99"/>
      <c r="U55" s="78"/>
    </row>
    <row r="56" spans="1:21" customFormat="1" ht="14">
      <c r="A56" s="66" t="s">
        <v>32</v>
      </c>
      <c r="B56" s="4" t="s">
        <v>21</v>
      </c>
      <c r="C56" s="153" t="s">
        <v>4</v>
      </c>
      <c r="D56" s="5"/>
      <c r="E56" s="5"/>
      <c r="F56" s="5"/>
      <c r="G56" s="5">
        <v>157.6</v>
      </c>
      <c r="H56" s="59">
        <v>173.74197771922056</v>
      </c>
      <c r="I56" s="59">
        <v>185.3</v>
      </c>
      <c r="J56" s="5">
        <v>197</v>
      </c>
      <c r="K56" s="6">
        <v>197</v>
      </c>
      <c r="L56" s="5">
        <v>216.9</v>
      </c>
      <c r="M56" s="78">
        <v>244</v>
      </c>
      <c r="N56" s="78">
        <v>260.8</v>
      </c>
      <c r="O56" s="78"/>
      <c r="P56" s="150"/>
      <c r="Q56" s="78"/>
      <c r="R56" s="78"/>
      <c r="S56" s="78"/>
      <c r="T56" s="99"/>
      <c r="U56" s="78"/>
    </row>
    <row r="57" spans="1:21" customFormat="1" ht="14">
      <c r="A57" s="66" t="s">
        <v>33</v>
      </c>
      <c r="B57" s="4" t="s">
        <v>22</v>
      </c>
      <c r="C57" s="153" t="s">
        <v>4</v>
      </c>
      <c r="D57" s="5"/>
      <c r="E57" s="5"/>
      <c r="F57" s="5"/>
      <c r="G57" s="5">
        <v>123</v>
      </c>
      <c r="H57" s="59">
        <v>135.61922885278543</v>
      </c>
      <c r="I57" s="59">
        <v>145.1</v>
      </c>
      <c r="J57" s="5">
        <v>151.69999999999999</v>
      </c>
      <c r="K57" s="6">
        <v>158</v>
      </c>
      <c r="L57" s="5">
        <v>165.7</v>
      </c>
      <c r="M57" s="78">
        <v>186.4</v>
      </c>
      <c r="N57" s="78">
        <v>199.3</v>
      </c>
      <c r="O57" s="78"/>
      <c r="P57" s="150"/>
      <c r="Q57" s="78"/>
      <c r="R57" s="78"/>
      <c r="S57" s="78"/>
      <c r="T57" s="99"/>
      <c r="U57" s="78"/>
    </row>
    <row r="58" spans="1:21" customFormat="1" ht="14">
      <c r="A58" s="67" t="s">
        <v>77</v>
      </c>
      <c r="B58" s="9" t="s">
        <v>23</v>
      </c>
      <c r="C58" s="154" t="s">
        <v>4</v>
      </c>
      <c r="D58" s="10"/>
      <c r="E58" s="10"/>
      <c r="F58" s="10"/>
      <c r="G58" s="10">
        <v>131.19999999999999</v>
      </c>
      <c r="H58" s="60">
        <v>144.6782274534923</v>
      </c>
      <c r="I58" s="60">
        <v>156.30000000000001</v>
      </c>
      <c r="J58" s="10">
        <v>163.6</v>
      </c>
      <c r="K58" s="11">
        <v>173</v>
      </c>
      <c r="L58" s="10">
        <v>182.9</v>
      </c>
      <c r="M58" s="148">
        <v>205.8</v>
      </c>
      <c r="N58" s="148">
        <v>220</v>
      </c>
      <c r="O58" s="148"/>
      <c r="P58" s="151"/>
      <c r="Q58" s="148"/>
      <c r="R58" s="148"/>
      <c r="S58" s="148"/>
      <c r="T58" s="149"/>
      <c r="U58" s="78"/>
    </row>
    <row r="59" spans="1:21" customFormat="1">
      <c r="A59" s="23"/>
      <c r="B59" s="4"/>
      <c r="C59" s="162"/>
      <c r="D59" s="5"/>
      <c r="E59" s="5"/>
      <c r="F59" s="5"/>
      <c r="G59" s="5"/>
      <c r="H59" s="59"/>
      <c r="I59" s="59"/>
      <c r="J59" s="5"/>
      <c r="K59" s="6"/>
      <c r="L59" s="5"/>
      <c r="M59" s="5"/>
      <c r="N59" s="5"/>
      <c r="O59" s="5"/>
      <c r="P59" s="5"/>
      <c r="Q59" s="5"/>
      <c r="R59" s="97"/>
      <c r="S59" s="5"/>
      <c r="T59" s="5"/>
      <c r="U59" s="5"/>
    </row>
    <row r="60" spans="1:21" customFormat="1">
      <c r="A60" s="23"/>
      <c r="B60" s="4"/>
      <c r="C60" s="162"/>
      <c r="D60" s="5"/>
      <c r="E60" s="5"/>
      <c r="F60" s="5"/>
      <c r="G60" s="5"/>
      <c r="H60" s="59"/>
      <c r="I60" s="59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customFormat="1">
      <c r="A61" s="23"/>
      <c r="B61" s="4"/>
      <c r="C61" s="162"/>
      <c r="D61" s="5"/>
      <c r="E61" s="5"/>
      <c r="F61" s="5"/>
      <c r="G61" s="5"/>
      <c r="H61" s="59"/>
      <c r="I61" s="59"/>
      <c r="J61" s="5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customFormat="1">
      <c r="A62" s="23"/>
      <c r="B62" s="4"/>
      <c r="C62" s="162"/>
      <c r="D62" s="5"/>
      <c r="E62" s="5"/>
      <c r="F62" s="5"/>
      <c r="G62" s="5"/>
      <c r="H62" s="59"/>
      <c r="I62" s="59"/>
      <c r="J62" s="5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customFormat="1">
      <c r="A63" s="23"/>
      <c r="B63" s="4"/>
      <c r="C63" s="162"/>
      <c r="D63" s="5"/>
      <c r="E63" s="5"/>
      <c r="F63" s="5"/>
      <c r="G63" s="5"/>
      <c r="H63" s="59"/>
      <c r="I63" s="59"/>
      <c r="J63" s="5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customFormat="1">
      <c r="A64" s="23"/>
      <c r="B64" s="4"/>
      <c r="C64" s="162"/>
      <c r="D64" s="5"/>
      <c r="E64" s="5"/>
      <c r="F64" s="5"/>
      <c r="G64" s="5"/>
      <c r="H64" s="59"/>
      <c r="I64" s="59"/>
      <c r="J64" s="5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customFormat="1">
      <c r="A65" s="23"/>
      <c r="B65" s="4"/>
      <c r="C65" s="162"/>
      <c r="D65" s="5"/>
      <c r="E65" s="5"/>
      <c r="F65" s="5"/>
      <c r="G65" s="5"/>
      <c r="H65" s="59"/>
      <c r="I65" s="59"/>
      <c r="J65" s="5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customFormat="1">
      <c r="A66" s="23"/>
      <c r="B66" s="4"/>
      <c r="C66" s="162"/>
      <c r="D66" s="5"/>
      <c r="E66" s="5"/>
      <c r="F66" s="5"/>
      <c r="G66" s="5"/>
      <c r="H66" s="59"/>
      <c r="I66" s="59"/>
      <c r="J66" s="5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customFormat="1">
      <c r="A67" s="23"/>
      <c r="B67" s="4"/>
      <c r="C67" s="162"/>
      <c r="D67" s="5"/>
      <c r="E67" s="5"/>
      <c r="F67" s="5"/>
      <c r="G67" s="5"/>
      <c r="H67" s="59"/>
      <c r="I67" s="59"/>
      <c r="J67" s="5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customFormat="1">
      <c r="A68" s="23"/>
      <c r="B68" s="4"/>
      <c r="C68" s="162"/>
      <c r="D68" s="5"/>
      <c r="E68" s="5"/>
      <c r="F68" s="5"/>
      <c r="G68" s="5"/>
      <c r="H68" s="59"/>
      <c r="I68" s="59"/>
      <c r="J68" s="5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customFormat="1">
      <c r="A69" s="23"/>
      <c r="B69" s="4"/>
      <c r="C69" s="162"/>
      <c r="D69" s="5"/>
      <c r="E69" s="5"/>
      <c r="F69" s="5"/>
      <c r="G69" s="5"/>
      <c r="H69" s="59"/>
      <c r="I69" s="59"/>
      <c r="J69" s="5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customFormat="1">
      <c r="A70" s="23"/>
      <c r="B70" s="4"/>
      <c r="C70" s="162"/>
      <c r="D70" s="5"/>
      <c r="E70" s="5"/>
      <c r="F70" s="5"/>
      <c r="G70" s="5"/>
      <c r="H70" s="59"/>
      <c r="I70" s="59"/>
      <c r="J70" s="5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customFormat="1">
      <c r="A71" s="23"/>
      <c r="B71" s="4"/>
      <c r="C71" s="162"/>
      <c r="D71" s="5"/>
      <c r="E71" s="5"/>
      <c r="F71" s="5"/>
      <c r="G71" s="5"/>
      <c r="H71" s="59"/>
      <c r="I71" s="59"/>
      <c r="J71" s="5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customFormat="1">
      <c r="A72" s="23"/>
      <c r="B72" s="4"/>
      <c r="C72" s="162"/>
      <c r="D72" s="5"/>
      <c r="E72" s="5"/>
      <c r="F72" s="5"/>
      <c r="G72" s="5"/>
      <c r="H72" s="59"/>
      <c r="I72" s="59"/>
      <c r="J72" s="5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customFormat="1">
      <c r="A73" s="23"/>
      <c r="B73" s="4"/>
      <c r="C73" s="162"/>
      <c r="D73" s="5"/>
      <c r="E73" s="5"/>
      <c r="F73" s="5"/>
      <c r="G73" s="5"/>
      <c r="H73" s="59"/>
      <c r="I73" s="59"/>
      <c r="J73" s="5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customFormat="1">
      <c r="A74" s="23"/>
      <c r="B74" s="4"/>
      <c r="C74" s="162"/>
      <c r="D74" s="5"/>
      <c r="E74" s="5"/>
      <c r="F74" s="5"/>
      <c r="G74" s="5"/>
      <c r="H74" s="59"/>
      <c r="I74" s="59"/>
      <c r="J74" s="5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</row>
  </sheetData>
  <mergeCells count="25">
    <mergeCell ref="P52:T52"/>
    <mergeCell ref="P28:T28"/>
    <mergeCell ref="P8:T8"/>
    <mergeCell ref="P2:T2"/>
    <mergeCell ref="A8:A9"/>
    <mergeCell ref="A28:A29"/>
    <mergeCell ref="B28:B29"/>
    <mergeCell ref="C28:C29"/>
    <mergeCell ref="C2:C3"/>
    <mergeCell ref="A52:A53"/>
    <mergeCell ref="B52:B53"/>
    <mergeCell ref="C52:C53"/>
    <mergeCell ref="D52:K52"/>
    <mergeCell ref="A1:T1"/>
    <mergeCell ref="A7:T7"/>
    <mergeCell ref="A27:T27"/>
    <mergeCell ref="A51:T51"/>
    <mergeCell ref="A25:K25"/>
    <mergeCell ref="A2:A3"/>
    <mergeCell ref="B2:B3"/>
    <mergeCell ref="D2:K2"/>
    <mergeCell ref="D8:K8"/>
    <mergeCell ref="D28:K28"/>
    <mergeCell ref="C8:C9"/>
    <mergeCell ref="B8:B9"/>
  </mergeCells>
  <pageMargins left="0.54" right="7.8740157480315001E-2" top="0.39370078740157499" bottom="0.59055118110236204" header="0.31496062992126" footer="0.31496062992126"/>
  <pageSetup paperSize="9" firstPageNumber="7" orientation="portrait" useFirstPageNumber="1" r:id="rId1"/>
  <headerFooter>
    <oddFooter>&amp;L &amp;Csəh.&amp;P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10">
    <pageSetUpPr fitToPage="1"/>
  </sheetPr>
  <dimension ref="A1:U36"/>
  <sheetViews>
    <sheetView view="pageBreakPreview" zoomScaleSheetLayoutView="100" workbookViewId="0">
      <pane xSplit="3" ySplit="3" topLeftCell="P4" activePane="bottomRight" state="frozen"/>
      <selection activeCell="W14" sqref="W14"/>
      <selection pane="topRight" activeCell="W14" sqref="W14"/>
      <selection pane="bottomLeft" activeCell="W14" sqref="W14"/>
      <selection pane="bottomRight" activeCell="W8" sqref="W8"/>
    </sheetView>
  </sheetViews>
  <sheetFormatPr baseColWidth="10" defaultColWidth="9.1640625" defaultRowHeight="13" outlineLevelCol="1"/>
  <cols>
    <col min="1" max="1" width="4.83203125" style="23" customWidth="1"/>
    <col min="2" max="2" width="26.5" style="4" customWidth="1"/>
    <col min="3" max="3" width="9.5" style="162" customWidth="1"/>
    <col min="4" max="4" width="7.83203125" style="5" hidden="1" customWidth="1" outlineLevel="1"/>
    <col min="5" max="5" width="8.33203125" style="5" hidden="1" customWidth="1" outlineLevel="1"/>
    <col min="6" max="6" width="7.83203125" style="5" hidden="1" customWidth="1" outlineLevel="1"/>
    <col min="7" max="7" width="7.83203125" style="5" hidden="1" customWidth="1" collapsed="1"/>
    <col min="8" max="8" width="8.33203125" style="59" hidden="1" customWidth="1"/>
    <col min="9" max="9" width="9.33203125" style="59" hidden="1" customWidth="1"/>
    <col min="10" max="10" width="9.33203125" style="5" hidden="1" customWidth="1"/>
    <col min="11" max="11" width="10.83203125" style="6" hidden="1" customWidth="1"/>
    <col min="12" max="16" width="10.83203125" style="5" hidden="1" customWidth="1"/>
    <col min="17" max="20" width="10.83203125" style="5" customWidth="1"/>
    <col min="21" max="21" width="10.83203125" style="5" hidden="1" customWidth="1"/>
    <col min="22" max="16384" width="9.1640625" style="5"/>
  </cols>
  <sheetData>
    <row r="1" spans="1:21" customFormat="1" ht="27" customHeight="1">
      <c r="A1" s="256" t="s">
        <v>377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34"/>
    </row>
    <row r="2" spans="1:21" customFormat="1">
      <c r="A2" s="253" t="s">
        <v>0</v>
      </c>
      <c r="B2" s="240" t="s">
        <v>1</v>
      </c>
      <c r="C2" s="248" t="s">
        <v>2</v>
      </c>
      <c r="D2" s="250" t="s">
        <v>13</v>
      </c>
      <c r="E2" s="251"/>
      <c r="F2" s="251"/>
      <c r="G2" s="251"/>
      <c r="H2" s="251"/>
      <c r="I2" s="251"/>
      <c r="J2" s="251"/>
      <c r="K2" s="252"/>
      <c r="L2" s="235"/>
      <c r="M2" s="236"/>
      <c r="N2" s="236"/>
      <c r="O2" s="236"/>
      <c r="P2" s="239" t="s">
        <v>3</v>
      </c>
      <c r="Q2" s="240"/>
      <c r="R2" s="240"/>
      <c r="S2" s="240"/>
      <c r="T2" s="241"/>
      <c r="U2" s="238"/>
    </row>
    <row r="3" spans="1:21" customFormat="1" ht="12.5" customHeight="1">
      <c r="A3" s="254"/>
      <c r="B3" s="255"/>
      <c r="C3" s="249"/>
      <c r="D3" s="105">
        <f t="shared" ref="D3:K3" si="0">E3-1</f>
        <v>2013</v>
      </c>
      <c r="E3" s="106">
        <f t="shared" si="0"/>
        <v>2014</v>
      </c>
      <c r="F3" s="106">
        <f t="shared" si="0"/>
        <v>2015</v>
      </c>
      <c r="G3" s="106">
        <f t="shared" si="0"/>
        <v>2016</v>
      </c>
      <c r="H3" s="105">
        <f t="shared" si="0"/>
        <v>2017</v>
      </c>
      <c r="I3" s="105">
        <f t="shared" si="0"/>
        <v>2018</v>
      </c>
      <c r="J3" s="106">
        <f t="shared" si="0"/>
        <v>2019</v>
      </c>
      <c r="K3" s="208">
        <f t="shared" si="0"/>
        <v>2020</v>
      </c>
      <c r="L3" s="106">
        <f>M3-1</f>
        <v>2021</v>
      </c>
      <c r="M3" s="106">
        <v>2022</v>
      </c>
      <c r="N3" s="106">
        <v>2023</v>
      </c>
      <c r="O3" s="106">
        <v>2024</v>
      </c>
      <c r="P3" s="220">
        <v>2025</v>
      </c>
      <c r="Q3" s="221">
        <v>2026</v>
      </c>
      <c r="R3" s="221">
        <v>2027</v>
      </c>
      <c r="S3" s="221">
        <v>2028</v>
      </c>
      <c r="T3" s="218">
        <v>2029</v>
      </c>
      <c r="U3" s="218">
        <v>2030</v>
      </c>
    </row>
    <row r="4" spans="1:21" customFormat="1" ht="14">
      <c r="A4" s="129" t="s">
        <v>24</v>
      </c>
      <c r="B4" s="142" t="s">
        <v>158</v>
      </c>
      <c r="C4" s="171" t="s">
        <v>159</v>
      </c>
      <c r="D4" s="143">
        <v>31776.362000000001</v>
      </c>
      <c r="E4" s="144">
        <v>28259.629000000001</v>
      </c>
      <c r="F4" s="144">
        <v>15586.052</v>
      </c>
      <c r="G4" s="144">
        <v>13210.511</v>
      </c>
      <c r="H4" s="143">
        <v>15152.058999999999</v>
      </c>
      <c r="I4" s="143">
        <f>[8]BOP!AC9</f>
        <v>20793.769</v>
      </c>
      <c r="J4" s="144">
        <f>[8]BOP!AD9</f>
        <v>19868.260999999999</v>
      </c>
      <c r="K4" s="145">
        <f>[8]BOP!AE9</f>
        <v>12588.158000000001</v>
      </c>
      <c r="L4" s="144">
        <f>[8]BOP!AF9</f>
        <v>21692.280999999999</v>
      </c>
      <c r="M4" s="144">
        <f>[8]BOP!AG9</f>
        <v>42206.693942296057</v>
      </c>
      <c r="N4" s="144">
        <f>[8]BOP!AH9</f>
        <v>29202.113598587293</v>
      </c>
      <c r="O4" s="144">
        <f>[8]BOP!AI9</f>
        <v>25992.027999999998</v>
      </c>
      <c r="P4" s="143">
        <f>[8]BOP!AJ9</f>
        <v>22740.454245404082</v>
      </c>
      <c r="Q4" s="144">
        <f>[8]BOP!AK9</f>
        <v>20367.477866417074</v>
      </c>
      <c r="R4" s="144">
        <f>[8]BOP!AL9</f>
        <v>19457.166832381405</v>
      </c>
      <c r="S4" s="144">
        <f>[8]BOP!AM9</f>
        <v>19581.933553837785</v>
      </c>
      <c r="T4" s="145">
        <f>[8]BOP!AN9</f>
        <v>20709.474553398155</v>
      </c>
      <c r="U4" s="145">
        <f>[8]BOP!AO9</f>
        <v>20393.946623308053</v>
      </c>
    </row>
    <row r="5" spans="1:21" customFormat="1" ht="14">
      <c r="A5" s="66" t="s">
        <v>149</v>
      </c>
      <c r="B5" s="4" t="s">
        <v>160</v>
      </c>
      <c r="C5" s="153" t="s">
        <v>159</v>
      </c>
      <c r="D5" s="75">
        <v>30003.324000000001</v>
      </c>
      <c r="E5" s="28">
        <v>26627.285</v>
      </c>
      <c r="F5" s="28">
        <v>14087.807000000001</v>
      </c>
      <c r="G5" s="28">
        <v>12050.387000000001</v>
      </c>
      <c r="H5" s="75">
        <v>13679.018</v>
      </c>
      <c r="I5" s="75">
        <f>[8]BOP!AC10</f>
        <v>19176.026000000002</v>
      </c>
      <c r="J5" s="28">
        <f>[8]BOP!AD10</f>
        <v>18017.195</v>
      </c>
      <c r="K5" s="29">
        <f>[8]BOP!AE10</f>
        <v>10817.262000000001</v>
      </c>
      <c r="L5" s="28">
        <f>[8]BOP!AF10</f>
        <v>19144.922999999999</v>
      </c>
      <c r="M5" s="28">
        <f>[8]BOP!AG10</f>
        <v>39266.863742296053</v>
      </c>
      <c r="N5" s="28">
        <f>[8]BOP!AH10</f>
        <v>25934.975598587294</v>
      </c>
      <c r="O5" s="28">
        <f>[8]BOP!AI10</f>
        <v>22750.992999999999</v>
      </c>
      <c r="P5" s="75">
        <f>[8]BOP!AJ10</f>
        <v>19171.823208929211</v>
      </c>
      <c r="Q5" s="28">
        <f>[8]BOP!AK10</f>
        <v>16533.390092483052</v>
      </c>
      <c r="R5" s="28">
        <f>[8]BOP!AL10</f>
        <v>15297.14485931428</v>
      </c>
      <c r="S5" s="28">
        <f>[8]BOP!AM10</f>
        <v>14564.343250505795</v>
      </c>
      <c r="T5" s="29">
        <f>[8]BOP!AN10</f>
        <v>15005.213331483588</v>
      </c>
      <c r="U5" s="29">
        <f>[8]BOP!AO10</f>
        <v>14920.611491599298</v>
      </c>
    </row>
    <row r="6" spans="1:21" customFormat="1" ht="14">
      <c r="A6" s="66" t="s">
        <v>150</v>
      </c>
      <c r="B6" s="4" t="s">
        <v>161</v>
      </c>
      <c r="C6" s="153" t="s">
        <v>159</v>
      </c>
      <c r="D6" s="75">
        <v>1773.038</v>
      </c>
      <c r="E6" s="28">
        <v>1632.3440000000001</v>
      </c>
      <c r="F6" s="28">
        <v>1498.2449999999999</v>
      </c>
      <c r="G6" s="28">
        <v>1160.124</v>
      </c>
      <c r="H6" s="75">
        <v>1473.0409999999999</v>
      </c>
      <c r="I6" s="75">
        <f>[8]BOP!AC11</f>
        <v>1617.7429999999999</v>
      </c>
      <c r="J6" s="28">
        <f>[8]BOP!AD11</f>
        <v>1851.066</v>
      </c>
      <c r="K6" s="29">
        <f>[8]BOP!AE11</f>
        <v>1770.896</v>
      </c>
      <c r="L6" s="28">
        <f>[8]BOP!AF11</f>
        <v>2547.3580000000002</v>
      </c>
      <c r="M6" s="28">
        <f>[8]BOP!AG11</f>
        <v>2939.8302000000012</v>
      </c>
      <c r="N6" s="28">
        <f>[8]BOP!AH11</f>
        <v>3267.1379999999999</v>
      </c>
      <c r="O6" s="28">
        <f>[8]BOP!AI11</f>
        <v>3241.0349999999999</v>
      </c>
      <c r="P6" s="75">
        <f>[8]BOP!AJ11</f>
        <v>3568.6310364748711</v>
      </c>
      <c r="Q6" s="28">
        <f>[8]BOP!AK11</f>
        <v>3834.0877739340217</v>
      </c>
      <c r="R6" s="28">
        <f>[8]BOP!AL11</f>
        <v>4160.0219730671242</v>
      </c>
      <c r="S6" s="28">
        <f>[8]BOP!AM11</f>
        <v>5017.590303331991</v>
      </c>
      <c r="T6" s="29">
        <f>[8]BOP!AN11</f>
        <v>5704.2612219145685</v>
      </c>
      <c r="U6" s="29">
        <f>[8]BOP!AO11</f>
        <v>5473.3351317087545</v>
      </c>
    </row>
    <row r="7" spans="1:21" customFormat="1" ht="14">
      <c r="A7" s="129" t="s">
        <v>25</v>
      </c>
      <c r="B7" s="142" t="s">
        <v>162</v>
      </c>
      <c r="C7" s="171" t="s">
        <v>159</v>
      </c>
      <c r="D7" s="146">
        <v>11155.585000000001</v>
      </c>
      <c r="E7" s="147">
        <v>9332.0010000000002</v>
      </c>
      <c r="F7" s="147">
        <v>9773.628999999999</v>
      </c>
      <c r="G7" s="144">
        <v>9004.1759999999995</v>
      </c>
      <c r="H7" s="143">
        <v>9037.3159999999989</v>
      </c>
      <c r="I7" s="143">
        <f>[8]BOP!AC12</f>
        <v>10952.441000000001</v>
      </c>
      <c r="J7" s="144">
        <f>[8]BOP!AD12</f>
        <v>11335.316000000001</v>
      </c>
      <c r="K7" s="145">
        <f>[8]BOP!AE12</f>
        <v>10076.563999999998</v>
      </c>
      <c r="L7" s="144">
        <f>[8]BOP!AF12</f>
        <v>10418.668000000001</v>
      </c>
      <c r="M7" s="144">
        <f>[8]BOP!AG12</f>
        <v>13509.216</v>
      </c>
      <c r="N7" s="144">
        <f>[8]BOP!AH12</f>
        <v>16396.550999999999</v>
      </c>
      <c r="O7" s="144">
        <f>[8]BOP!AI12</f>
        <v>17167.084000000003</v>
      </c>
      <c r="P7" s="143">
        <f>[8]BOP!AJ12</f>
        <v>16872.405413877674</v>
      </c>
      <c r="Q7" s="144">
        <f>[8]BOP!AK12</f>
        <v>17254.349292248768</v>
      </c>
      <c r="R7" s="144">
        <f>[8]BOP!AL12</f>
        <v>17411.134300200298</v>
      </c>
      <c r="S7" s="144">
        <f>[8]BOP!AM12</f>
        <v>18422.968579827218</v>
      </c>
      <c r="T7" s="145">
        <f>[8]BOP!AN12</f>
        <v>19372.095752668949</v>
      </c>
      <c r="U7" s="145">
        <f>[8]BOP!AO12</f>
        <v>19445.245764905085</v>
      </c>
    </row>
    <row r="8" spans="1:21" customFormat="1" ht="14">
      <c r="A8" s="66" t="s">
        <v>163</v>
      </c>
      <c r="B8" s="4" t="s">
        <v>160</v>
      </c>
      <c r="C8" s="153" t="s">
        <v>159</v>
      </c>
      <c r="D8" s="75">
        <v>1166.617</v>
      </c>
      <c r="E8" s="28">
        <v>1437.999</v>
      </c>
      <c r="F8" s="28">
        <v>2403.0189999999998</v>
      </c>
      <c r="G8" s="28">
        <v>2328.6979999999999</v>
      </c>
      <c r="H8" s="75">
        <v>1342.501</v>
      </c>
      <c r="I8" s="75">
        <f>[8]BOP!AC13</f>
        <v>1745.377</v>
      </c>
      <c r="J8" s="28">
        <f>[8]BOP!AD13</f>
        <v>1881.509</v>
      </c>
      <c r="K8" s="29">
        <f>[8]BOP!AE13</f>
        <v>1876.085</v>
      </c>
      <c r="L8" s="28">
        <f>[8]BOP!AF13</f>
        <v>1624.7180000000001</v>
      </c>
      <c r="M8" s="28">
        <f>[8]BOP!AG13</f>
        <v>2539.0250000000001</v>
      </c>
      <c r="N8" s="28">
        <f>[8]BOP!AH13</f>
        <v>2848.5059999999999</v>
      </c>
      <c r="O8" s="28">
        <f>[8]BOP!AI13</f>
        <v>2468.8310000000001</v>
      </c>
      <c r="P8" s="75">
        <f>[8]BOP!AJ13</f>
        <v>2498.8414871439895</v>
      </c>
      <c r="Q8" s="28">
        <f>[8]BOP!AK13</f>
        <v>2547.4599945256855</v>
      </c>
      <c r="R8" s="28">
        <f>[8]BOP!AL13</f>
        <v>2220.529776253316</v>
      </c>
      <c r="S8" s="28">
        <f>[8]BOP!AM13</f>
        <v>2273.0618604948518</v>
      </c>
      <c r="T8" s="29">
        <f>[8]BOP!AN13</f>
        <v>2275.1007420356427</v>
      </c>
      <c r="U8" s="29">
        <f>[8]BOP!AO13</f>
        <v>1371.5470538638058</v>
      </c>
    </row>
    <row r="9" spans="1:21" customFormat="1" ht="14">
      <c r="A9" s="66" t="s">
        <v>164</v>
      </c>
      <c r="B9" s="4" t="s">
        <v>161</v>
      </c>
      <c r="C9" s="153" t="s">
        <v>159</v>
      </c>
      <c r="D9" s="75">
        <v>9988.9680000000008</v>
      </c>
      <c r="E9" s="28">
        <v>7894.0020000000004</v>
      </c>
      <c r="F9" s="28">
        <v>7370.61</v>
      </c>
      <c r="G9" s="28">
        <v>6675.4780000000001</v>
      </c>
      <c r="H9" s="75">
        <v>7694.8149999999996</v>
      </c>
      <c r="I9" s="75">
        <f>[8]BOP!AC14</f>
        <v>9207.0640000000003</v>
      </c>
      <c r="J9" s="28">
        <f>[8]BOP!AD14</f>
        <v>9453.8070000000007</v>
      </c>
      <c r="K9" s="29">
        <f>[8]BOP!AE14</f>
        <v>8200.4789999999994</v>
      </c>
      <c r="L9" s="28">
        <f>[8]BOP!AF14</f>
        <v>8793.9500000000007</v>
      </c>
      <c r="M9" s="28">
        <f>[8]BOP!AG14</f>
        <v>10970.191000000001</v>
      </c>
      <c r="N9" s="28">
        <f>[8]BOP!AH14</f>
        <v>13548.045</v>
      </c>
      <c r="O9" s="28">
        <f>[8]BOP!AI14</f>
        <v>14698.253000000001</v>
      </c>
      <c r="P9" s="75">
        <f>[8]BOP!AJ14</f>
        <v>14373.563926733683</v>
      </c>
      <c r="Q9" s="28">
        <f>[8]BOP!AK14</f>
        <v>14706.889297723081</v>
      </c>
      <c r="R9" s="28">
        <f>[8]BOP!AL14</f>
        <v>15190.604523946982</v>
      </c>
      <c r="S9" s="28">
        <f>[8]BOP!AM14</f>
        <v>16149.906719332366</v>
      </c>
      <c r="T9" s="29">
        <f>[8]BOP!AN14</f>
        <v>17096.995010633305</v>
      </c>
      <c r="U9" s="29">
        <f>[8]BOP!AO14</f>
        <v>18073.698711041277</v>
      </c>
    </row>
    <row r="10" spans="1:21" customFormat="1" ht="14">
      <c r="A10" s="129" t="s">
        <v>17</v>
      </c>
      <c r="B10" s="142" t="s">
        <v>165</v>
      </c>
      <c r="C10" s="171" t="s">
        <v>159</v>
      </c>
      <c r="D10" s="143">
        <v>4130.9229999999998</v>
      </c>
      <c r="E10" s="144">
        <v>4297.1610000000001</v>
      </c>
      <c r="F10" s="144">
        <v>4443.9859999999999</v>
      </c>
      <c r="G10" s="144">
        <v>4368.29</v>
      </c>
      <c r="H10" s="143">
        <v>4688.4389999999994</v>
      </c>
      <c r="I10" s="143">
        <f>[8]BOP!AC16</f>
        <v>4690.7029999999995</v>
      </c>
      <c r="J10" s="144">
        <f>[8]BOP!AD16</f>
        <v>3761.4799999999996</v>
      </c>
      <c r="K10" s="145">
        <f>[8]BOP!AE16</f>
        <v>2620.5949999999998</v>
      </c>
      <c r="L10" s="144">
        <f>[8]BOP!AF16</f>
        <v>3795.384</v>
      </c>
      <c r="M10" s="144">
        <f>[8]BOP!AG16</f>
        <v>5067.393</v>
      </c>
      <c r="N10" s="144">
        <f>[8]BOP!AH16</f>
        <v>6285.2400000000016</v>
      </c>
      <c r="O10" s="144">
        <f>[8]BOP!AI16</f>
        <v>8120.8789999999999</v>
      </c>
      <c r="P10" s="143">
        <f>[8]BOP!AJ16</f>
        <v>8662.9378423312992</v>
      </c>
      <c r="Q10" s="144">
        <f>[8]BOP!AK16</f>
        <v>9257.2829668026498</v>
      </c>
      <c r="R10" s="144">
        <f>[8]BOP!AL16</f>
        <v>9891.054075690854</v>
      </c>
      <c r="S10" s="144">
        <f>[8]BOP!AM16</f>
        <v>10531.152126418279</v>
      </c>
      <c r="T10" s="145">
        <f>[8]BOP!AN16</f>
        <v>10919.106232038894</v>
      </c>
      <c r="U10" s="145">
        <f>[8]BOP!AO16</f>
        <v>11046.116280069597</v>
      </c>
    </row>
    <row r="11" spans="1:21" customFormat="1" ht="14">
      <c r="A11" s="211" t="s">
        <v>26</v>
      </c>
      <c r="B11" s="212" t="s">
        <v>166</v>
      </c>
      <c r="C11" s="213" t="s">
        <v>159</v>
      </c>
      <c r="D11" s="214">
        <v>8319.9310000000005</v>
      </c>
      <c r="E11" s="215">
        <v>10386.721</v>
      </c>
      <c r="F11" s="215">
        <v>8672.8509999999987</v>
      </c>
      <c r="G11" s="215">
        <v>7522.8050000000003</v>
      </c>
      <c r="H11" s="214">
        <v>8067.7520000000004</v>
      </c>
      <c r="I11" s="214">
        <f>[8]BOP!AC19</f>
        <v>6752.7569999999996</v>
      </c>
      <c r="J11" s="215">
        <f>[8]BOP!AD19</f>
        <v>6377.1429999999991</v>
      </c>
      <c r="K11" s="216">
        <f>[8]BOP!AE19</f>
        <v>5461.255000000001</v>
      </c>
      <c r="L11" s="215">
        <f>[8]BOP!AF19</f>
        <v>5918.2820000000002</v>
      </c>
      <c r="M11" s="215">
        <f>[8]BOP!AG19</f>
        <v>7765.2160000000003</v>
      </c>
      <c r="N11" s="215">
        <f>[8]BOP!AH19</f>
        <v>8619.887999999999</v>
      </c>
      <c r="O11" s="215">
        <f>[8]BOP!AI19</f>
        <v>10171.723999999998</v>
      </c>
      <c r="P11" s="214">
        <f>[8]BOP!AJ19</f>
        <v>9870.2828444271745</v>
      </c>
      <c r="Q11" s="215">
        <f>[8]BOP!AK19</f>
        <v>10055.573818044681</v>
      </c>
      <c r="R11" s="215">
        <f>[8]BOP!AL19</f>
        <v>10581.832938366229</v>
      </c>
      <c r="S11" s="215">
        <f>[8]BOP!AM19</f>
        <v>10949.677757998052</v>
      </c>
      <c r="T11" s="216">
        <f>[8]BOP!AN19</f>
        <v>11261.886031180562</v>
      </c>
      <c r="U11" s="216">
        <f>[8]BOP!AO19</f>
        <v>10314.411627924132</v>
      </c>
    </row>
    <row r="12" spans="1:21" customFormat="1" ht="14" hidden="1">
      <c r="A12" s="66" t="s">
        <v>167</v>
      </c>
      <c r="B12" s="4" t="s">
        <v>160</v>
      </c>
      <c r="C12" s="153" t="s">
        <v>159</v>
      </c>
      <c r="D12" s="74">
        <v>2565.4850000000001</v>
      </c>
      <c r="E12" s="30">
        <v>4057.6779999999999</v>
      </c>
      <c r="F12" s="30">
        <v>3665.0509999999999</v>
      </c>
      <c r="G12" s="30">
        <v>3154.6469999999999</v>
      </c>
      <c r="H12" s="74">
        <v>3351.4380000000001</v>
      </c>
      <c r="I12" s="74">
        <f>[8]BOP!AC20</f>
        <v>1907.373</v>
      </c>
      <c r="J12" s="30">
        <f>[8]BOP!AD20</f>
        <v>2039.4089999999999</v>
      </c>
      <c r="K12" s="31">
        <f>[8]BOP!AE20</f>
        <v>2801.6489999999999</v>
      </c>
      <c r="L12" s="30">
        <f>[8]BOP!AF20</f>
        <v>2621.5370000000003</v>
      </c>
      <c r="M12" s="30">
        <f>[8]BOP!AG20</f>
        <v>3293.3440000000001</v>
      </c>
      <c r="N12" s="30">
        <f>[8]BOP!AH20</f>
        <v>3584.5680000000002</v>
      </c>
      <c r="O12" s="30">
        <f>[8]BOP!AI20</f>
        <v>3450.5910000000003</v>
      </c>
      <c r="P12" s="17"/>
      <c r="Q12" s="17"/>
      <c r="R12" s="17"/>
      <c r="S12" s="17"/>
      <c r="T12" s="17"/>
      <c r="U12" s="17"/>
    </row>
    <row r="13" spans="1:21" customFormat="1" ht="14" hidden="1">
      <c r="A13" s="67" t="s">
        <v>168</v>
      </c>
      <c r="B13" s="9" t="s">
        <v>161</v>
      </c>
      <c r="C13" s="154" t="s">
        <v>159</v>
      </c>
      <c r="D13" s="76">
        <v>5754.4459999999999</v>
      </c>
      <c r="E13" s="38">
        <v>6329.0429999999997</v>
      </c>
      <c r="F13" s="38">
        <v>5007.7999999999993</v>
      </c>
      <c r="G13" s="38">
        <v>4368.1580000000004</v>
      </c>
      <c r="H13" s="76">
        <v>4716.3140000000003</v>
      </c>
      <c r="I13" s="76">
        <f>[8]BOP!AC21</f>
        <v>4845.384</v>
      </c>
      <c r="J13" s="38">
        <f>[8]BOP!AD21</f>
        <v>4337.7339999999995</v>
      </c>
      <c r="K13" s="39">
        <f>[8]BOP!AE21</f>
        <v>2659.6060000000007</v>
      </c>
      <c r="L13" s="38">
        <f>[8]BOP!AF21</f>
        <v>3296.7449999999999</v>
      </c>
      <c r="M13" s="38">
        <f>[8]BOP!AG21</f>
        <v>4471.8720000000003</v>
      </c>
      <c r="N13" s="38">
        <f>[8]BOP!AH21</f>
        <v>5035.32</v>
      </c>
      <c r="O13" s="38">
        <f>[8]BOP!AI21</f>
        <v>6721.1329999999989</v>
      </c>
      <c r="P13" s="17"/>
      <c r="Q13" s="17"/>
      <c r="R13" s="17"/>
      <c r="S13" s="17"/>
      <c r="T13" s="17"/>
      <c r="U13" s="17"/>
    </row>
    <row r="14" spans="1:21" customFormat="1">
      <c r="A14" s="13"/>
      <c r="B14" s="14"/>
      <c r="C14" s="174"/>
      <c r="D14" s="15"/>
      <c r="E14" s="15"/>
      <c r="F14" s="15"/>
      <c r="G14" s="15"/>
      <c r="H14" s="101"/>
      <c r="I14" s="101"/>
      <c r="J14" s="187"/>
      <c r="K14" s="90"/>
      <c r="L14" s="15"/>
      <c r="M14" s="15"/>
      <c r="N14" s="15"/>
      <c r="O14" s="15"/>
      <c r="P14" s="14"/>
      <c r="Q14" s="14"/>
      <c r="R14" s="14"/>
      <c r="S14" s="14"/>
      <c r="T14" s="14"/>
      <c r="U14" s="14"/>
    </row>
    <row r="15" spans="1:21" customFormat="1">
      <c r="A15" s="13"/>
      <c r="B15" s="14"/>
      <c r="C15" s="174"/>
      <c r="D15" s="15"/>
      <c r="E15" s="15"/>
      <c r="F15" s="15"/>
      <c r="G15" s="15"/>
      <c r="H15" s="101"/>
      <c r="I15" s="101"/>
      <c r="J15" s="15"/>
      <c r="K15" s="90"/>
      <c r="L15" s="15"/>
      <c r="M15" s="15"/>
      <c r="N15" s="15"/>
      <c r="O15" s="15"/>
      <c r="P15" s="14"/>
      <c r="Q15" s="14"/>
      <c r="R15" s="14"/>
      <c r="S15" s="14"/>
      <c r="T15" s="14"/>
      <c r="U15" s="14"/>
    </row>
    <row r="16" spans="1:21" customFormat="1" ht="27" customHeight="1">
      <c r="A16" s="256" t="s">
        <v>376</v>
      </c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34"/>
    </row>
    <row r="17" spans="1:21" customFormat="1">
      <c r="A17" s="245" t="s">
        <v>0</v>
      </c>
      <c r="B17" s="239" t="s">
        <v>1</v>
      </c>
      <c r="C17" s="248" t="s">
        <v>2</v>
      </c>
      <c r="D17" s="250" t="s">
        <v>13</v>
      </c>
      <c r="E17" s="251"/>
      <c r="F17" s="251"/>
      <c r="G17" s="251"/>
      <c r="H17" s="251"/>
      <c r="I17" s="251"/>
      <c r="J17" s="251"/>
      <c r="K17" s="252"/>
      <c r="L17" s="235"/>
      <c r="M17" s="236"/>
      <c r="N17" s="236"/>
      <c r="O17" s="236"/>
      <c r="P17" s="239" t="s">
        <v>3</v>
      </c>
      <c r="Q17" s="240"/>
      <c r="R17" s="240"/>
      <c r="S17" s="240"/>
      <c r="T17" s="241"/>
      <c r="U17" s="238"/>
    </row>
    <row r="18" spans="1:21" customFormat="1" ht="12.5" customHeight="1">
      <c r="A18" s="246"/>
      <c r="B18" s="247"/>
      <c r="C18" s="249"/>
      <c r="D18" s="105">
        <f>'2.4.1.1.'!$D$3</f>
        <v>2013</v>
      </c>
      <c r="E18" s="106">
        <f t="shared" ref="E18:P18" si="1">D18+1</f>
        <v>2014</v>
      </c>
      <c r="F18" s="106"/>
      <c r="G18" s="106">
        <v>2016</v>
      </c>
      <c r="H18" s="105">
        <f t="shared" si="1"/>
        <v>2017</v>
      </c>
      <c r="I18" s="105">
        <f t="shared" si="1"/>
        <v>2018</v>
      </c>
      <c r="J18" s="106">
        <f t="shared" si="1"/>
        <v>2019</v>
      </c>
      <c r="K18" s="218">
        <f t="shared" si="1"/>
        <v>2020</v>
      </c>
      <c r="L18" s="222">
        <f t="shared" si="1"/>
        <v>2021</v>
      </c>
      <c r="M18" s="222">
        <f t="shared" si="1"/>
        <v>2022</v>
      </c>
      <c r="N18" s="222">
        <f t="shared" si="1"/>
        <v>2023</v>
      </c>
      <c r="O18" s="222">
        <f t="shared" si="1"/>
        <v>2024</v>
      </c>
      <c r="P18" s="237">
        <f t="shared" si="1"/>
        <v>2025</v>
      </c>
      <c r="Q18" s="222">
        <v>2026</v>
      </c>
      <c r="R18" s="222">
        <v>2027</v>
      </c>
      <c r="S18" s="233">
        <v>2028</v>
      </c>
      <c r="T18" s="231">
        <v>2029</v>
      </c>
      <c r="U18" s="231">
        <v>2030</v>
      </c>
    </row>
    <row r="19" spans="1:21" customFormat="1" ht="28">
      <c r="A19" s="136" t="s">
        <v>169</v>
      </c>
      <c r="B19" s="112" t="s">
        <v>170</v>
      </c>
      <c r="C19" s="155" t="s">
        <v>159</v>
      </c>
      <c r="D19" s="113">
        <v>12317.836000000001</v>
      </c>
      <c r="E19" s="114">
        <v>10398.618000000002</v>
      </c>
      <c r="F19" s="114">
        <v>-222.49499999999796</v>
      </c>
      <c r="G19" s="114">
        <v>-1363.404</v>
      </c>
      <c r="H19" s="113">
        <v>1684.5589999999993</v>
      </c>
      <c r="I19" s="113">
        <f>[8]BOP!AC4</f>
        <v>6051.0769999999993</v>
      </c>
      <c r="J19" s="114">
        <f>[8]BOP!AD4</f>
        <v>4364.8859999999986</v>
      </c>
      <c r="K19" s="115">
        <f>[8]BOP!AE4</f>
        <v>-227.56799999999839</v>
      </c>
      <c r="L19" s="113">
        <f>[8]BOP!AF4</f>
        <v>8291.5799999999963</v>
      </c>
      <c r="M19" s="114">
        <f>[8]BOP!AG4</f>
        <v>23478.078942296059</v>
      </c>
      <c r="N19" s="114">
        <f>[8]BOP!AH4</f>
        <v>8329.367598587296</v>
      </c>
      <c r="O19" s="114">
        <f>[8]BOP!AI4</f>
        <v>4671.1079999999984</v>
      </c>
      <c r="P19" s="113">
        <f>[8]BOP!AJ4</f>
        <v>3828.0968053498218</v>
      </c>
      <c r="Q19" s="114">
        <f>[8]BOP!AK4</f>
        <v>2283.6963456688236</v>
      </c>
      <c r="R19" s="114">
        <f>[8]BOP!AL4</f>
        <v>1685.7318793402069</v>
      </c>
      <c r="S19" s="114">
        <f>[8]BOP!AM4</f>
        <v>1189.7669634508168</v>
      </c>
      <c r="T19" s="115">
        <f>[8]BOP!AN4</f>
        <v>1537.5469956253337</v>
      </c>
      <c r="U19" s="115">
        <f>[8]BOP!AO4</f>
        <v>2154.0727153801381</v>
      </c>
    </row>
    <row r="20" spans="1:21" s="17" customFormat="1" ht="14">
      <c r="A20" s="68" t="s">
        <v>171</v>
      </c>
      <c r="B20" s="17" t="s">
        <v>172</v>
      </c>
      <c r="C20" s="163" t="s">
        <v>159</v>
      </c>
      <c r="D20" s="40">
        <v>20620.777000000002</v>
      </c>
      <c r="E20" s="18">
        <v>18927.628000000001</v>
      </c>
      <c r="F20" s="18">
        <v>5812.4230000000007</v>
      </c>
      <c r="G20" s="18">
        <v>4206.3350000000009</v>
      </c>
      <c r="H20" s="40">
        <v>6114.7430000000004</v>
      </c>
      <c r="I20" s="40">
        <f>[8]BOP!AC8</f>
        <v>9841.3279999999995</v>
      </c>
      <c r="J20" s="18">
        <f>[8]BOP!AD8</f>
        <v>8532.9449999999979</v>
      </c>
      <c r="K20" s="19">
        <f>[8]BOP!AE8</f>
        <v>2511.5940000000028</v>
      </c>
      <c r="L20" s="18">
        <f>[8]BOP!AF8</f>
        <v>11273.612999999998</v>
      </c>
      <c r="M20" s="18">
        <f>[8]BOP!AG8</f>
        <v>28697.477942296056</v>
      </c>
      <c r="N20" s="18">
        <f>[8]BOP!AH8</f>
        <v>12805.562598587294</v>
      </c>
      <c r="O20" s="18">
        <f>[8]BOP!AI8</f>
        <v>8824.9439999999959</v>
      </c>
      <c r="P20" s="40">
        <f>[8]BOP!AJ8</f>
        <v>5868.0488315264083</v>
      </c>
      <c r="Q20" s="18">
        <f>[8]BOP!AK8</f>
        <v>3113.1285741683059</v>
      </c>
      <c r="R20" s="18">
        <f>[8]BOP!AL8</f>
        <v>2046.0325321811069</v>
      </c>
      <c r="S20" s="18">
        <f>[8]BOP!AM8</f>
        <v>1158.9649740105669</v>
      </c>
      <c r="T20" s="19">
        <f>[8]BOP!AN8</f>
        <v>1337.378800729206</v>
      </c>
      <c r="U20" s="19">
        <f>[8]BOP!AO8</f>
        <v>948.70085840296815</v>
      </c>
    </row>
    <row r="21" spans="1:21" s="4" customFormat="1" ht="14">
      <c r="A21" s="66"/>
      <c r="B21" s="4" t="s">
        <v>173</v>
      </c>
      <c r="C21" s="153" t="s">
        <v>159</v>
      </c>
      <c r="D21" s="59">
        <v>28836.707000000002</v>
      </c>
      <c r="E21" s="5">
        <v>25189.286</v>
      </c>
      <c r="F21" s="5">
        <v>11684.788</v>
      </c>
      <c r="G21" s="5">
        <v>9721.6890000000003</v>
      </c>
      <c r="H21" s="59">
        <v>12336.517</v>
      </c>
      <c r="I21" s="59">
        <f>[8]BOP!AC10-[8]BOP!AC13</f>
        <v>17430.649000000001</v>
      </c>
      <c r="J21" s="5">
        <f>[8]BOP!AD10-[8]BOP!AD13</f>
        <v>16135.686</v>
      </c>
      <c r="K21" s="6">
        <f>[8]BOP!AE10-[8]BOP!AE13</f>
        <v>8941.1769999999997</v>
      </c>
      <c r="L21" s="5">
        <f>[8]BOP!AF10-[8]BOP!AF13</f>
        <v>17520.204999999998</v>
      </c>
      <c r="M21" s="5">
        <f>[8]BOP!AG10-[8]BOP!AG13</f>
        <v>36727.838742296051</v>
      </c>
      <c r="N21" s="5">
        <f>[8]BOP!AH10-[8]BOP!AH13</f>
        <v>23086.469598587293</v>
      </c>
      <c r="O21" s="5">
        <f>[8]BOP!AI10-[8]BOP!AI13</f>
        <v>20282.161999999997</v>
      </c>
      <c r="P21" s="59">
        <f>[8]BOP!AJ10-[8]BOP!AJ13</f>
        <v>16672.981721785221</v>
      </c>
      <c r="Q21" s="5">
        <f>[8]BOP!AK10-[8]BOP!AK13</f>
        <v>13985.930097957367</v>
      </c>
      <c r="R21" s="5">
        <f>[8]BOP!AL10-[8]BOP!AL13</f>
        <v>13076.615083060964</v>
      </c>
      <c r="S21" s="5">
        <f>[8]BOP!AM10-[8]BOP!AM13</f>
        <v>12291.281390010943</v>
      </c>
      <c r="T21" s="6">
        <f>[8]BOP!AN10-[8]BOP!AN13</f>
        <v>12730.112589447945</v>
      </c>
      <c r="U21" s="6">
        <f>[8]BOP!AO10-[8]BOP!AO13</f>
        <v>13549.064437735493</v>
      </c>
    </row>
    <row r="22" spans="1:21" s="4" customFormat="1" ht="14">
      <c r="A22" s="66"/>
      <c r="B22" s="4" t="s">
        <v>161</v>
      </c>
      <c r="C22" s="153" t="s">
        <v>159</v>
      </c>
      <c r="D22" s="59">
        <v>-8215.93</v>
      </c>
      <c r="E22" s="5">
        <v>-6261.6580000000004</v>
      </c>
      <c r="F22" s="5">
        <v>-5872.3649999999998</v>
      </c>
      <c r="G22" s="5">
        <v>-5515.3540000000003</v>
      </c>
      <c r="H22" s="59">
        <v>-6221.7739999999994</v>
      </c>
      <c r="I22" s="59">
        <f>[8]BOP!AC11-[8]BOP!AC14</f>
        <v>-7589.3209999999999</v>
      </c>
      <c r="J22" s="5">
        <f>[8]BOP!AD11-[8]BOP!AD14</f>
        <v>-7602.7410000000009</v>
      </c>
      <c r="K22" s="6">
        <f>[8]BOP!AE11-[8]BOP!AE14</f>
        <v>-6429.5829999999996</v>
      </c>
      <c r="L22" s="5">
        <f>[8]BOP!AF11-[8]BOP!AF14</f>
        <v>-6246.5920000000006</v>
      </c>
      <c r="M22" s="5">
        <f>[8]BOP!AG11-[8]BOP!AG14</f>
        <v>-8030.3607999999995</v>
      </c>
      <c r="N22" s="5">
        <f>[8]BOP!AH11-[8]BOP!AH14</f>
        <v>-10280.906999999999</v>
      </c>
      <c r="O22" s="5">
        <f>[8]BOP!AI11-[8]BOP!AI14</f>
        <v>-11457.218000000001</v>
      </c>
      <c r="P22" s="59">
        <f>[8]BOP!AJ11-[8]BOP!AJ14</f>
        <v>-10804.932890258811</v>
      </c>
      <c r="Q22" s="5">
        <f>[8]BOP!AK11-[8]BOP!AK14</f>
        <v>-10872.80152378906</v>
      </c>
      <c r="R22" s="5">
        <f>[8]BOP!AL11-[8]BOP!AL14</f>
        <v>-11030.582550879859</v>
      </c>
      <c r="S22" s="5">
        <f>[8]BOP!AM11-[8]BOP!AM14</f>
        <v>-11132.316416000376</v>
      </c>
      <c r="T22" s="6">
        <f>[8]BOP!AN11-[8]BOP!AN14</f>
        <v>-11392.733788718737</v>
      </c>
      <c r="U22" s="6">
        <f>[8]BOP!AO11-[8]BOP!AO14</f>
        <v>-12600.363579332523</v>
      </c>
    </row>
    <row r="23" spans="1:21" s="17" customFormat="1" ht="14">
      <c r="A23" s="68" t="s">
        <v>174</v>
      </c>
      <c r="B23" s="17" t="s">
        <v>175</v>
      </c>
      <c r="C23" s="163" t="s">
        <v>159</v>
      </c>
      <c r="D23" s="40">
        <v>-4189.0080000000007</v>
      </c>
      <c r="E23" s="18">
        <v>-6089.5599999999995</v>
      </c>
      <c r="F23" s="18">
        <v>-4228.8649999999989</v>
      </c>
      <c r="G23" s="18">
        <v>-3154.5150000000003</v>
      </c>
      <c r="H23" s="40">
        <v>-3379.313000000001</v>
      </c>
      <c r="I23" s="40">
        <f>[8]BOP!AC15</f>
        <v>-2062.0540000000001</v>
      </c>
      <c r="J23" s="18">
        <f>[8]BOP!AD15</f>
        <v>-2615.6629999999996</v>
      </c>
      <c r="K23" s="19">
        <f>[8]BOP!AE15</f>
        <v>-2840.6600000000012</v>
      </c>
      <c r="L23" s="18">
        <f>[8]BOP!AF15</f>
        <v>-2122.8980000000001</v>
      </c>
      <c r="M23" s="18">
        <f>[8]BOP!AG15</f>
        <v>-2697.8230000000003</v>
      </c>
      <c r="N23" s="18">
        <f>[8]BOP!AH15</f>
        <v>-2334.6479999999974</v>
      </c>
      <c r="O23" s="18">
        <f>[8]BOP!AI15</f>
        <v>-2050.8449999999984</v>
      </c>
      <c r="P23" s="40">
        <f>[8]BOP!AJ15</f>
        <v>-1207.3450020958753</v>
      </c>
      <c r="Q23" s="18">
        <f>[8]BOP!AK15</f>
        <v>-798.29085124203084</v>
      </c>
      <c r="R23" s="18">
        <f>[8]BOP!AL15</f>
        <v>-690.77886267537542</v>
      </c>
      <c r="S23" s="18">
        <f>[8]BOP!AM15</f>
        <v>-418.52563157977238</v>
      </c>
      <c r="T23" s="19">
        <f>[8]BOP!AN15</f>
        <v>-342.77979914166826</v>
      </c>
      <c r="U23" s="19">
        <f>[8]BOP!AO15</f>
        <v>731.70465214546493</v>
      </c>
    </row>
    <row r="24" spans="1:21" s="4" customFormat="1" ht="14">
      <c r="A24" s="66"/>
      <c r="B24" s="4" t="s">
        <v>173</v>
      </c>
      <c r="C24" s="153" t="s">
        <v>159</v>
      </c>
      <c r="D24" s="59">
        <v>-2565.4850000000001</v>
      </c>
      <c r="E24" s="5">
        <v>-4057.6779999999999</v>
      </c>
      <c r="F24" s="5">
        <v>-3064.4639999999999</v>
      </c>
      <c r="G24" s="5">
        <v>-2740.27</v>
      </c>
      <c r="H24" s="59">
        <v>-3102.58</v>
      </c>
      <c r="I24" s="59">
        <f>[8]BOP!AC17-[8]BOP!AC20</f>
        <v>-1712.021</v>
      </c>
      <c r="J24" s="5">
        <f>[8]BOP!AD17-[8]BOP!AD20</f>
        <v>-1839.0029999999999</v>
      </c>
      <c r="K24" s="6">
        <f>[8]BOP!AE17-[8]BOP!AE20</f>
        <v>-2416.616</v>
      </c>
      <c r="L24" s="5">
        <f>[8]BOP!AF17-[8]BOP!AF20</f>
        <v>-1645.2410000000002</v>
      </c>
      <c r="M24" s="5">
        <f>[8]BOP!AG17-[8]BOP!AG20</f>
        <v>-1982.655</v>
      </c>
      <c r="N24" s="5">
        <f>[8]BOP!AH17-[8]BOP!AH20</f>
        <v>-2062.0709999999999</v>
      </c>
      <c r="O24" s="5">
        <f>[8]BOP!AI17-[8]BOP!AI20</f>
        <v>-1843.0560000000003</v>
      </c>
      <c r="P24" s="59">
        <f>[8]BOP!AJ17-[8]BOP!AJ20</f>
        <v>-1259.3813666109247</v>
      </c>
      <c r="Q24" s="5">
        <f>[8]BOP!AK17-[8]BOP!AK20</f>
        <v>-1346.0757793626333</v>
      </c>
      <c r="R24" s="5">
        <f>[8]BOP!AL17-[8]BOP!AL20</f>
        <v>-1387.8109698135218</v>
      </c>
      <c r="S24" s="5">
        <f>[8]BOP!AM17-[8]BOP!AM20</f>
        <v>-1487.4073508014717</v>
      </c>
      <c r="T24" s="6">
        <f>[8]BOP!AN17-[8]BOP!AN20</f>
        <v>-1519.2533402755232</v>
      </c>
      <c r="U24" s="6">
        <f>[8]BOP!AO17-[8]BOP!AO20</f>
        <v>-320.72880892452122</v>
      </c>
    </row>
    <row r="25" spans="1:21" s="4" customFormat="1" ht="14">
      <c r="A25" s="66"/>
      <c r="B25" s="4" t="s">
        <v>161</v>
      </c>
      <c r="C25" s="153" t="s">
        <v>159</v>
      </c>
      <c r="D25" s="59">
        <v>-1623.5230000000001</v>
      </c>
      <c r="E25" s="5">
        <v>-2031.8819999999996</v>
      </c>
      <c r="F25" s="5">
        <v>-1164.4009999999994</v>
      </c>
      <c r="G25" s="5">
        <v>-414.24500000000035</v>
      </c>
      <c r="H25" s="59">
        <v>-276.73300000000108</v>
      </c>
      <c r="I25" s="59">
        <f>[8]BOP!AC18-[8]BOP!AC21</f>
        <v>-350.03300000000036</v>
      </c>
      <c r="J25" s="5">
        <f>[8]BOP!AD18-[8]BOP!AD21</f>
        <v>-776.65999999999985</v>
      </c>
      <c r="K25" s="6">
        <f>[8]BOP!AE18-[8]BOP!AE21</f>
        <v>-424.04400000000078</v>
      </c>
      <c r="L25" s="5">
        <f>[8]BOP!AF18-[8]BOP!AF21</f>
        <v>-477.65700000000015</v>
      </c>
      <c r="M25" s="5">
        <f>[8]BOP!AG18-[8]BOP!AG21</f>
        <v>-715.16800000000012</v>
      </c>
      <c r="N25" s="5">
        <f>[8]BOP!AH18-[8]BOP!AH21</f>
        <v>-272.57699999999841</v>
      </c>
      <c r="O25" s="5">
        <f>[8]BOP!AI18-[8]BOP!AI21</f>
        <v>-207.78899999999885</v>
      </c>
      <c r="P25" s="59">
        <f>[8]BOP!AJ18-[8]BOP!AJ21</f>
        <v>52.036364515048263</v>
      </c>
      <c r="Q25" s="5">
        <f>[8]BOP!AK18-[8]BOP!AK21</f>
        <v>547.78492812060267</v>
      </c>
      <c r="R25" s="5">
        <f>[8]BOP!AL18-[8]BOP!AL21</f>
        <v>697.03210713814678</v>
      </c>
      <c r="S25" s="5">
        <f>[8]BOP!AM18-[8]BOP!AM21</f>
        <v>1068.8817192216993</v>
      </c>
      <c r="T25" s="6">
        <f>[8]BOP!AN18-[8]BOP!AN21</f>
        <v>1176.4735411338561</v>
      </c>
      <c r="U25" s="6">
        <f>[8]BOP!AO18-[8]BOP!AO21</f>
        <v>1052.4334610699862</v>
      </c>
    </row>
    <row r="26" spans="1:21" s="17" customFormat="1" ht="14">
      <c r="A26" s="68" t="s">
        <v>176</v>
      </c>
      <c r="B26" s="17" t="s">
        <v>177</v>
      </c>
      <c r="C26" s="163" t="s">
        <v>159</v>
      </c>
      <c r="D26" s="40">
        <v>-4120.5870000000004</v>
      </c>
      <c r="E26" s="18">
        <v>-2581.701</v>
      </c>
      <c r="F26" s="18">
        <v>-2027.798</v>
      </c>
      <c r="G26" s="18">
        <v>-2472.0540000000005</v>
      </c>
      <c r="H26" s="40">
        <v>-1759.5490000000002</v>
      </c>
      <c r="I26" s="40">
        <f>[8]BOP!AC22</f>
        <v>-2459.5650000000001</v>
      </c>
      <c r="J26" s="18">
        <f>[8]BOP!AD22</f>
        <v>-2061.0140000000001</v>
      </c>
      <c r="K26" s="19">
        <f>[8]BOP!AE22</f>
        <v>-456.27799999999979</v>
      </c>
      <c r="L26" s="18">
        <f>[8]BOP!AF22</f>
        <v>-1318.6159999999995</v>
      </c>
      <c r="M26" s="18">
        <f>[8]BOP!AG22</f>
        <v>-5486.9780000000001</v>
      </c>
      <c r="N26" s="18">
        <f>[8]BOP!AH22</f>
        <v>-3199.1170000000002</v>
      </c>
      <c r="O26" s="18">
        <f>[8]BOP!AI22</f>
        <v>-2734.7349999999997</v>
      </c>
      <c r="P26" s="40">
        <f>[8]BOP!AJ22</f>
        <v>-1503.5294489629023</v>
      </c>
      <c r="Q26" s="18">
        <f>[8]BOP!AK22</f>
        <v>-757.32019139640533</v>
      </c>
      <c r="R26" s="18">
        <f>[8]BOP!AL22</f>
        <v>-500.69814861595069</v>
      </c>
      <c r="S26" s="18">
        <f>[8]BOP!AM22</f>
        <v>-461.6377499020291</v>
      </c>
      <c r="T26" s="19">
        <f>[8]BOP!AN22</f>
        <v>-439.6949411792848</v>
      </c>
      <c r="U26" s="19">
        <f>[8]BOP!AO22</f>
        <v>-580.36745086549217</v>
      </c>
    </row>
    <row r="27" spans="1:21" s="17" customFormat="1" ht="14">
      <c r="A27" s="92" t="s">
        <v>178</v>
      </c>
      <c r="B27" s="35" t="s">
        <v>179</v>
      </c>
      <c r="C27" s="172" t="s">
        <v>159</v>
      </c>
      <c r="D27" s="73">
        <v>6.653999999999769</v>
      </c>
      <c r="E27" s="36">
        <v>174.16300000000001</v>
      </c>
      <c r="F27" s="36">
        <v>221.74500000000023</v>
      </c>
      <c r="G27" s="36">
        <v>56.830000000000041</v>
      </c>
      <c r="H27" s="73">
        <v>708.67800000000011</v>
      </c>
      <c r="I27" s="73">
        <f>[8]BOP!AC29</f>
        <v>731.36799999999994</v>
      </c>
      <c r="J27" s="36">
        <f>[8]BOP!AD29</f>
        <v>508.61800000000005</v>
      </c>
      <c r="K27" s="37">
        <f>[8]BOP!AE29</f>
        <v>557.77599999999984</v>
      </c>
      <c r="L27" s="36">
        <f>[8]BOP!AF29</f>
        <v>459.48100000000011</v>
      </c>
      <c r="M27" s="36">
        <f>[8]BOP!AG29</f>
        <v>2965.402</v>
      </c>
      <c r="N27" s="36">
        <f>[8]BOP!AH29</f>
        <v>1057.5700000000002</v>
      </c>
      <c r="O27" s="36">
        <f>[8]BOP!AI29</f>
        <v>631.74400000000014</v>
      </c>
      <c r="P27" s="73">
        <f>[8]BOP!AJ29</f>
        <v>670.92242488219119</v>
      </c>
      <c r="Q27" s="36">
        <f>[8]BOP!AK29</f>
        <v>726.17881413895407</v>
      </c>
      <c r="R27" s="36">
        <f>[8]BOP!AL29</f>
        <v>831.17635845042605</v>
      </c>
      <c r="S27" s="36">
        <f>[8]BOP!AM29</f>
        <v>910.96537092205131</v>
      </c>
      <c r="T27" s="37">
        <f>[8]BOP!AN29</f>
        <v>982.64293521708078</v>
      </c>
      <c r="U27" s="37">
        <f>[8]BOP!AO29</f>
        <v>1054.0346556971972</v>
      </c>
    </row>
    <row r="28" spans="1:21" s="22" customFormat="1" ht="14" hidden="1">
      <c r="A28" s="137" t="s">
        <v>180</v>
      </c>
      <c r="B28" s="138" t="s">
        <v>181</v>
      </c>
      <c r="C28" s="176" t="s">
        <v>159</v>
      </c>
      <c r="D28" s="139">
        <v>-12.91</v>
      </c>
      <c r="E28" s="140">
        <v>-6.9169999999999998</v>
      </c>
      <c r="F28" s="140">
        <v>-43.884</v>
      </c>
      <c r="G28" s="140">
        <v>-40.131</v>
      </c>
      <c r="H28" s="139">
        <v>100.369</v>
      </c>
      <c r="I28" s="139">
        <f>[8]BOP!AC33</f>
        <v>1.4239999999999999</v>
      </c>
      <c r="J28" s="140">
        <f>[8]BOP!AD33</f>
        <v>-18.62</v>
      </c>
      <c r="K28" s="141">
        <f>[8]BOP!AE33</f>
        <v>-7.375</v>
      </c>
      <c r="L28" s="140">
        <f>[8]BOP!AF33</f>
        <v>-4.1660000000000004</v>
      </c>
      <c r="M28" s="140">
        <f>[8]BOP!AG33</f>
        <v>-2.0000000000002238E-3</v>
      </c>
      <c r="N28" s="140">
        <f>[8]BOP!AH33</f>
        <v>-9.6180000000000003</v>
      </c>
      <c r="O28" s="140">
        <f>[8]BOP!AI33</f>
        <v>-1.4449999999999998</v>
      </c>
    </row>
    <row r="29" spans="1:21" s="22" customFormat="1" ht="14" hidden="1">
      <c r="A29" s="137" t="s">
        <v>182</v>
      </c>
      <c r="B29" s="138" t="s">
        <v>183</v>
      </c>
      <c r="C29" s="176" t="s">
        <v>159</v>
      </c>
      <c r="D29" s="139">
        <v>-6486.4679999999998</v>
      </c>
      <c r="E29" s="140">
        <v>-3402.1189999999997</v>
      </c>
      <c r="F29" s="140">
        <v>-9023.2509999999984</v>
      </c>
      <c r="G29" s="140">
        <v>-2761.5049999999997</v>
      </c>
      <c r="H29" s="139">
        <v>-201.37699999999904</v>
      </c>
      <c r="I29" s="139">
        <f>[8]BOP!AC36</f>
        <v>-3190.7779999999993</v>
      </c>
      <c r="J29" s="140">
        <f>[8]BOP!AD36</f>
        <v>134.84900000000039</v>
      </c>
      <c r="K29" s="141">
        <f>[8]BOP!AE36</f>
        <v>-2400.7649999999999</v>
      </c>
      <c r="L29" s="140">
        <f>[8]BOP!AF36</f>
        <v>-5052.4549999999999</v>
      </c>
      <c r="M29" s="140">
        <f>[8]BOP!AG36</f>
        <v>-12485.159</v>
      </c>
      <c r="N29" s="140">
        <f>[8]BOP!AH36</f>
        <v>-4283.9960000000001</v>
      </c>
      <c r="O29" s="140">
        <f>[8]BOP!AI36</f>
        <v>-6628.8765000000003</v>
      </c>
    </row>
    <row r="30" spans="1:21" s="17" customFormat="1" ht="14" hidden="1">
      <c r="A30" s="68" t="s">
        <v>184</v>
      </c>
      <c r="B30" s="17" t="s">
        <v>185</v>
      </c>
      <c r="C30" s="163" t="s">
        <v>159</v>
      </c>
      <c r="D30" s="40">
        <v>1141.5500000000004</v>
      </c>
      <c r="E30" s="18">
        <v>2221.6350000000002</v>
      </c>
      <c r="F30" s="18">
        <v>787.86100000000033</v>
      </c>
      <c r="G30" s="18">
        <v>1926.065000000001</v>
      </c>
      <c r="H30" s="40">
        <v>301.70600000000013</v>
      </c>
      <c r="I30" s="40">
        <v>-807.9849999999999</v>
      </c>
      <c r="J30" s="18">
        <v>-1021.3220864705884</v>
      </c>
      <c r="K30" s="19">
        <v>-462.11993430229279</v>
      </c>
      <c r="L30" s="18">
        <v>-304.90951037819468</v>
      </c>
      <c r="M30" s="18">
        <v>-576.07200518382331</v>
      </c>
      <c r="N30" s="18">
        <v>-878.27441141948566</v>
      </c>
      <c r="O30" s="18">
        <v>-878.27441141948566</v>
      </c>
    </row>
    <row r="31" spans="1:21" s="17" customFormat="1" ht="14" hidden="1">
      <c r="A31" s="68" t="s">
        <v>186</v>
      </c>
      <c r="B31" s="17" t="s">
        <v>187</v>
      </c>
      <c r="C31" s="163" t="s">
        <v>159</v>
      </c>
      <c r="D31" s="40"/>
      <c r="E31" s="18"/>
      <c r="F31" s="18"/>
      <c r="G31" s="18"/>
      <c r="H31" s="40">
        <v>1.4059999999999999</v>
      </c>
      <c r="I31" s="40">
        <v>450.10700000000003</v>
      </c>
      <c r="J31" s="18">
        <v>450.09999999999997</v>
      </c>
      <c r="K31" s="19">
        <v>450.2</v>
      </c>
      <c r="L31" s="18">
        <v>450.2</v>
      </c>
      <c r="M31" s="18">
        <v>450.2</v>
      </c>
      <c r="N31" s="18">
        <v>450.2</v>
      </c>
      <c r="O31" s="18">
        <v>450.2</v>
      </c>
    </row>
    <row r="32" spans="1:21" s="17" customFormat="1" ht="14" hidden="1">
      <c r="A32" s="68" t="s">
        <v>188</v>
      </c>
      <c r="B32" s="17" t="s">
        <v>189</v>
      </c>
      <c r="C32" s="163" t="s">
        <v>159</v>
      </c>
      <c r="D32" s="40">
        <v>718.50900000000013</v>
      </c>
      <c r="E32" s="18">
        <v>1321.422</v>
      </c>
      <c r="F32" s="18">
        <v>392.358</v>
      </c>
      <c r="G32" s="18">
        <v>487.85399999999993</v>
      </c>
      <c r="H32" s="40">
        <v>2668.8910000000001</v>
      </c>
      <c r="I32" s="40">
        <v>-1240.981</v>
      </c>
      <c r="J32" s="18">
        <v>-725.15283823529398</v>
      </c>
      <c r="K32" s="19">
        <v>-545.77797222222227</v>
      </c>
      <c r="L32" s="18">
        <v>-611.25782026143747</v>
      </c>
      <c r="M32" s="18">
        <v>-426.32958487654321</v>
      </c>
      <c r="N32" s="18">
        <v>-419.74566743827165</v>
      </c>
      <c r="O32" s="18">
        <v>-419.74566743827165</v>
      </c>
    </row>
    <row r="33" spans="1:15" s="17" customFormat="1" ht="14" hidden="1">
      <c r="A33" s="68" t="s">
        <v>190</v>
      </c>
      <c r="B33" s="17" t="s">
        <v>191</v>
      </c>
      <c r="C33" s="163" t="s">
        <v>159</v>
      </c>
      <c r="D33" s="40">
        <v>0</v>
      </c>
      <c r="E33" s="18">
        <v>0</v>
      </c>
      <c r="F33" s="18">
        <v>0</v>
      </c>
      <c r="G33" s="18">
        <v>0.66</v>
      </c>
      <c r="H33" s="40">
        <v>3.827</v>
      </c>
      <c r="I33" s="40">
        <v>-0.88200000000000012</v>
      </c>
      <c r="J33" s="18">
        <v>-4.92875</v>
      </c>
      <c r="K33" s="19">
        <v>0</v>
      </c>
      <c r="L33" s="18">
        <v>0</v>
      </c>
      <c r="M33" s="18">
        <v>0</v>
      </c>
      <c r="N33" s="18">
        <v>0</v>
      </c>
      <c r="O33" s="18">
        <v>0</v>
      </c>
    </row>
    <row r="34" spans="1:15" s="17" customFormat="1" ht="14" hidden="1">
      <c r="A34" s="68" t="s">
        <v>192</v>
      </c>
      <c r="B34" s="17" t="s">
        <v>193</v>
      </c>
      <c r="C34" s="163" t="s">
        <v>159</v>
      </c>
      <c r="D34" s="40">
        <v>-8348.8860000000004</v>
      </c>
      <c r="E34" s="18">
        <v>-6962.1880000000001</v>
      </c>
      <c r="F34" s="18">
        <v>-10205.469999999999</v>
      </c>
      <c r="G34" s="18">
        <v>-5176.1360000000004</v>
      </c>
      <c r="H34" s="40">
        <v>-3177.2069999999994</v>
      </c>
      <c r="I34" s="40">
        <v>-1591.0359999999998</v>
      </c>
      <c r="J34" s="18">
        <v>570.41014883982507</v>
      </c>
      <c r="K34" s="19">
        <v>-1014.4035137218939</v>
      </c>
      <c r="L34" s="18">
        <v>-1493.6260099905226</v>
      </c>
      <c r="M34" s="18">
        <v>-1952.599056172854</v>
      </c>
      <c r="N34" s="18">
        <v>-1822.949987053815</v>
      </c>
      <c r="O34" s="18">
        <v>-1822.949987053815</v>
      </c>
    </row>
    <row r="35" spans="1:15" s="17" customFormat="1" ht="14" hidden="1">
      <c r="A35" s="129" t="s">
        <v>52</v>
      </c>
      <c r="B35" s="142" t="s">
        <v>51</v>
      </c>
      <c r="C35" s="171" t="s">
        <v>159</v>
      </c>
      <c r="D35" s="130">
        <v>3843.3690000000006</v>
      </c>
      <c r="E35" s="131">
        <v>4211.2419999999993</v>
      </c>
      <c r="F35" s="131">
        <v>-11327.030000000002</v>
      </c>
      <c r="G35" s="131">
        <v>-539.18300000000045</v>
      </c>
      <c r="H35" s="130">
        <v>1972.741</v>
      </c>
      <c r="I35" s="130">
        <f>-[8]BOP!AC57</f>
        <v>3508.12</v>
      </c>
      <c r="J35" s="131">
        <f>-[8]BOP!AD57</f>
        <v>5142.9239999999991</v>
      </c>
      <c r="K35" s="132">
        <f>-[8]BOP!AE57</f>
        <v>-1987.6659999999983</v>
      </c>
      <c r="L35" s="131">
        <f>-[8]BOP!AF57</f>
        <v>3081.379999999996</v>
      </c>
      <c r="M35" s="131">
        <f>-[8]BOP!AG57</f>
        <v>9375.1549422960597</v>
      </c>
      <c r="N35" s="131">
        <f>-[8]BOP!AH57</f>
        <v>5356.3605985872955</v>
      </c>
      <c r="O35" s="131">
        <f>-[8]BOP!AI57</f>
        <v>-2065.8995000000018</v>
      </c>
    </row>
    <row r="36" spans="1:15" s="22" customFormat="1" ht="28" hidden="1">
      <c r="A36" s="137" t="s">
        <v>53</v>
      </c>
      <c r="B36" s="138" t="s">
        <v>194</v>
      </c>
      <c r="C36" s="176" t="s">
        <v>159</v>
      </c>
      <c r="D36" s="139">
        <v>-1975.0890000000018</v>
      </c>
      <c r="E36" s="140">
        <v>-2778.3400000000038</v>
      </c>
      <c r="F36" s="140">
        <v>-2037.4000000000069</v>
      </c>
      <c r="G36" s="140">
        <v>3625.8569999999995</v>
      </c>
      <c r="H36" s="139">
        <v>389.18999999999983</v>
      </c>
      <c r="I36" s="139">
        <f>[8]BOP!AC61</f>
        <v>646.39700000000005</v>
      </c>
      <c r="J36" s="140">
        <f>[8]BOP!AD61</f>
        <v>661.80899999999997</v>
      </c>
      <c r="K36" s="141">
        <f>[8]BOP!AE61</f>
        <v>648.04200000000003</v>
      </c>
      <c r="L36" s="140">
        <f>[8]BOP!AF61</f>
        <v>-153.57900000000001</v>
      </c>
      <c r="M36" s="140">
        <f>[8]BOP!AG61</f>
        <v>-1617.7629999999999</v>
      </c>
      <c r="N36" s="140">
        <f>[8]BOP!AH61</f>
        <v>1320.607</v>
      </c>
      <c r="O36" s="140">
        <f>[8]BOP!AI61</f>
        <v>-106.68600000000001</v>
      </c>
    </row>
  </sheetData>
  <mergeCells count="12">
    <mergeCell ref="A1:T1"/>
    <mergeCell ref="A16:T16"/>
    <mergeCell ref="P17:T17"/>
    <mergeCell ref="P2:T2"/>
    <mergeCell ref="A17:A18"/>
    <mergeCell ref="B17:B18"/>
    <mergeCell ref="C17:C18"/>
    <mergeCell ref="D17:K17"/>
    <mergeCell ref="A2:A3"/>
    <mergeCell ref="B2:B3"/>
    <mergeCell ref="C2:C3"/>
    <mergeCell ref="D2:K2"/>
  </mergeCells>
  <pageMargins left="0.54" right="7.8740157480315001E-2" top="0.39370078740157499" bottom="0.59055118110236204" header="0.31496062992126" footer="0.31496062992126"/>
  <pageSetup paperSize="9" firstPageNumber="8" orientation="portrait" useFirstPageNumber="1" r:id="rId1"/>
  <headerFooter>
    <oddFooter>&amp;L &amp;Csəh.&amp;P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2.4.1.1.</vt:lpstr>
      <vt:lpstr>2.4.1.2.</vt:lpstr>
      <vt:lpstr>2.4.1.3.</vt:lpstr>
      <vt:lpstr>2.4.1.4.</vt:lpstr>
      <vt:lpstr>2.4.1.5.-7.</vt:lpstr>
      <vt:lpstr>2.4.1.13.-14.</vt:lpstr>
      <vt:lpstr>'2.4.1.1.'!Print_Area</vt:lpstr>
      <vt:lpstr>'2.4.1.13.-14.'!Print_Area</vt:lpstr>
      <vt:lpstr>'2.4.1.2.'!Print_Area</vt:lpstr>
      <vt:lpstr>'2.4.1.3.'!Print_Area</vt:lpstr>
      <vt:lpstr>'2.4.1.4.'!Print_Area</vt:lpstr>
      <vt:lpstr>'2.4.1.5.-7.'!Print_Area</vt:lpstr>
      <vt:lpstr>'2.4.1.1.'!Print_Titles</vt:lpstr>
      <vt:lpstr>'2.4.1.2.'!Print_Titles</vt:lpstr>
      <vt:lpstr>'2.4.1.3.'!Print_Titles</vt:lpstr>
      <vt:lpstr>'2.4.1.4.'!Print_Titles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fatih kansoy</cp:lastModifiedBy>
  <cp:lastPrinted>2023-08-03T11:34:38Z</cp:lastPrinted>
  <dcterms:created xsi:type="dcterms:W3CDTF">2010-07-30T05:43:11Z</dcterms:created>
  <dcterms:modified xsi:type="dcterms:W3CDTF">2026-06-04T01:02:06Z</dcterms:modified>
</cp:coreProperties>
</file>